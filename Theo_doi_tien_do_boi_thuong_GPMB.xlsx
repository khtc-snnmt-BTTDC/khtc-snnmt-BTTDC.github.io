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TrongDung\Dropbox\share\webapp\BC dinh ky SNNMT\BoiThuong\"/>
    </mc:Choice>
  </mc:AlternateContent>
  <xr:revisionPtr revIDLastSave="0" documentId="13_ncr:1_{6E33FC43-F7DC-46B3-BD3C-C4C0EDA0B606}" xr6:coauthVersionLast="47" xr6:coauthVersionMax="47" xr10:uidLastSave="{00000000-0000-0000-0000-000000000000}"/>
  <bookViews>
    <workbookView xWindow="-108" yWindow="-108" windowWidth="23256" windowHeight="12456" tabRatio="610" firstSheet="1" activeTab="4" xr2:uid="{00000000-000D-0000-FFFF-FFFF00000000}"/>
  </bookViews>
  <sheets>
    <sheet name="Tổng hợp toàn TP" sheetId="1" r:id="rId1"/>
    <sheet name="Danh mục dự án" sheetId="2" r:id="rId2"/>
    <sheet name="Khó khăn - Kiến nghị" sheetId="3" r:id="rId3"/>
    <sheet name="Chú thích - Căn cứ pháp lý" sheetId="4" r:id="rId4"/>
    <sheet name="DanhSachDonVi" sheetId="5" r:id="rId5"/>
    <sheet name="DanhSachDuAn" sheetId="6" r:id="rId6"/>
  </sheets>
  <definedNames>
    <definedName name="_xlnm._FilterDatabase" localSheetId="3" hidden="1">'Chú thích - Căn cứ pháp lý'!$A$4:$E$21</definedName>
    <definedName name="_xlnm._FilterDatabase" localSheetId="1" hidden="1">'Danh mục dự án'!$A$3:$AC$103</definedName>
    <definedName name="_xlnm._FilterDatabase" localSheetId="5" hidden="1">DanhSachDuAn!$A$1:$F$162</definedName>
    <definedName name="_xlnm._FilterDatabase" localSheetId="2" hidden="1">'Khó khăn - Kiến nghị'!$A$4:$J$63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B103" i="2" l="1"/>
  <c r="Y103" i="2"/>
  <c r="S103" i="2"/>
  <c r="I103" i="2"/>
  <c r="AB102" i="2"/>
  <c r="Y102" i="2"/>
  <c r="S102" i="2"/>
  <c r="I102" i="2"/>
  <c r="AB101" i="2"/>
  <c r="Y101" i="2"/>
  <c r="S101" i="2"/>
  <c r="I101" i="2"/>
  <c r="AB100" i="2"/>
  <c r="Y100" i="2"/>
  <c r="S100" i="2"/>
  <c r="I100" i="2"/>
  <c r="AB99" i="2"/>
  <c r="Y99" i="2"/>
  <c r="S99" i="2"/>
  <c r="I99" i="2"/>
  <c r="AB98" i="2"/>
  <c r="Y98" i="2"/>
  <c r="S98" i="2"/>
  <c r="I98" i="2"/>
  <c r="AB97" i="2"/>
  <c r="Y97" i="2"/>
  <c r="S97" i="2"/>
  <c r="I97" i="2"/>
  <c r="AB96" i="2"/>
  <c r="Y96" i="2"/>
  <c r="S96" i="2"/>
  <c r="I96" i="2"/>
  <c r="AB95" i="2"/>
  <c r="Y95" i="2"/>
  <c r="S95" i="2"/>
  <c r="I95" i="2"/>
  <c r="AB94" i="2"/>
  <c r="Y94" i="2"/>
  <c r="S94" i="2"/>
  <c r="I94" i="2"/>
  <c r="AB93" i="2"/>
  <c r="Y93" i="2"/>
  <c r="S93" i="2"/>
  <c r="I93" i="2"/>
  <c r="AB92" i="2"/>
  <c r="Y92" i="2"/>
  <c r="S92" i="2"/>
  <c r="I92" i="2"/>
  <c r="AB91" i="2"/>
  <c r="Y91" i="2"/>
  <c r="S91" i="2"/>
  <c r="I91" i="2"/>
  <c r="AB90" i="2"/>
  <c r="Y90" i="2"/>
  <c r="S90" i="2"/>
  <c r="I90" i="2"/>
  <c r="AB89" i="2"/>
  <c r="Y89" i="2"/>
  <c r="S89" i="2"/>
  <c r="I89" i="2"/>
  <c r="AB88" i="2"/>
  <c r="Y88" i="2"/>
  <c r="S88" i="2"/>
  <c r="I88" i="2"/>
  <c r="AB87" i="2"/>
  <c r="Y87" i="2"/>
  <c r="S87" i="2"/>
  <c r="I87" i="2"/>
  <c r="AB86" i="2"/>
  <c r="Y86" i="2"/>
  <c r="S86" i="2"/>
  <c r="I86" i="2"/>
  <c r="AB85" i="2"/>
  <c r="Y85" i="2"/>
  <c r="S85" i="2"/>
  <c r="I85" i="2"/>
  <c r="AB84" i="2"/>
  <c r="Y84" i="2"/>
  <c r="S84" i="2"/>
  <c r="I84" i="2"/>
  <c r="AB83" i="2"/>
  <c r="Y83" i="2"/>
  <c r="S83" i="2"/>
  <c r="I83" i="2"/>
  <c r="AB82" i="2"/>
  <c r="Y82" i="2"/>
  <c r="S82" i="2"/>
  <c r="I82" i="2"/>
  <c r="AB81" i="2"/>
  <c r="Y81" i="2"/>
  <c r="S81" i="2"/>
  <c r="I81" i="2"/>
  <c r="AB80" i="2"/>
  <c r="Y80" i="2"/>
  <c r="S80" i="2"/>
  <c r="I80" i="2"/>
  <c r="AB79" i="2"/>
  <c r="Y79" i="2"/>
  <c r="S79" i="2"/>
  <c r="I79" i="2"/>
  <c r="AB78" i="2"/>
  <c r="Y78" i="2"/>
  <c r="S78" i="2"/>
  <c r="I78" i="2"/>
  <c r="AB77" i="2"/>
  <c r="Y77" i="2"/>
  <c r="S77" i="2"/>
  <c r="I77" i="2"/>
  <c r="AB76" i="2"/>
  <c r="Y76" i="2"/>
  <c r="S76" i="2"/>
  <c r="I76" i="2"/>
  <c r="AB75" i="2"/>
  <c r="Y75" i="2"/>
  <c r="S75" i="2"/>
  <c r="I75" i="2"/>
  <c r="AB74" i="2"/>
  <c r="Y74" i="2"/>
  <c r="S74" i="2"/>
  <c r="I74" i="2"/>
  <c r="AB73" i="2"/>
  <c r="Y73" i="2"/>
  <c r="S73" i="2"/>
  <c r="I73" i="2"/>
  <c r="AB72" i="2"/>
  <c r="Y72" i="2"/>
  <c r="S72" i="2"/>
  <c r="I72" i="2"/>
  <c r="AB71" i="2"/>
  <c r="Y71" i="2"/>
  <c r="S71" i="2"/>
  <c r="I71" i="2"/>
  <c r="AB70" i="2"/>
  <c r="Y70" i="2"/>
  <c r="S70" i="2"/>
  <c r="I70" i="2"/>
  <c r="AB69" i="2"/>
  <c r="Y69" i="2"/>
  <c r="S69" i="2"/>
  <c r="I69" i="2"/>
  <c r="AB68" i="2"/>
  <c r="Y68" i="2"/>
  <c r="S68" i="2"/>
  <c r="I68" i="2"/>
  <c r="AB67" i="2"/>
  <c r="Y67" i="2"/>
  <c r="S67" i="2"/>
  <c r="I67" i="2"/>
  <c r="AB66" i="2"/>
  <c r="Y66" i="2"/>
  <c r="S66" i="2"/>
  <c r="I66" i="2"/>
  <c r="AB65" i="2"/>
  <c r="Y65" i="2"/>
  <c r="S65" i="2"/>
  <c r="I65" i="2"/>
  <c r="AB64" i="2"/>
  <c r="Y64" i="2"/>
  <c r="S64" i="2"/>
  <c r="I64" i="2"/>
  <c r="AB63" i="2"/>
  <c r="Y63" i="2"/>
  <c r="S63" i="2"/>
  <c r="I63" i="2"/>
  <c r="AB62" i="2"/>
  <c r="Y62" i="2"/>
  <c r="S62" i="2"/>
  <c r="I62" i="2"/>
  <c r="AB61" i="2"/>
  <c r="Y61" i="2"/>
  <c r="S61" i="2"/>
  <c r="I61" i="2"/>
  <c r="AB60" i="2"/>
  <c r="Y60" i="2"/>
  <c r="S60" i="2"/>
  <c r="I60" i="2"/>
  <c r="AB59" i="2"/>
  <c r="Y59" i="2"/>
  <c r="S59" i="2"/>
  <c r="I59" i="2"/>
  <c r="AB58" i="2"/>
  <c r="Y58" i="2"/>
  <c r="S58" i="2"/>
  <c r="I58" i="2"/>
  <c r="AB57" i="2"/>
  <c r="Y57" i="2"/>
  <c r="S57" i="2"/>
  <c r="I57" i="2"/>
  <c r="AB56" i="2"/>
  <c r="Y56" i="2"/>
  <c r="S56" i="2"/>
  <c r="I56" i="2"/>
  <c r="AB55" i="2"/>
  <c r="Y55" i="2"/>
  <c r="S55" i="2"/>
  <c r="I55" i="2"/>
  <c r="AB54" i="2"/>
  <c r="Y54" i="2"/>
  <c r="S54" i="2"/>
  <c r="I54" i="2"/>
  <c r="AB53" i="2"/>
  <c r="Y53" i="2"/>
  <c r="S53" i="2"/>
  <c r="I53" i="2"/>
  <c r="AB52" i="2"/>
  <c r="Y52" i="2"/>
  <c r="S52" i="2"/>
  <c r="I52" i="2"/>
  <c r="AB51" i="2"/>
  <c r="Y51" i="2"/>
  <c r="S51" i="2"/>
  <c r="I51" i="2"/>
  <c r="AB50" i="2"/>
  <c r="Y50" i="2"/>
  <c r="S50" i="2"/>
  <c r="I50" i="2"/>
  <c r="AB49" i="2"/>
  <c r="Y49" i="2"/>
  <c r="S49" i="2"/>
  <c r="I49" i="2"/>
  <c r="AB48" i="2"/>
  <c r="Y48" i="2"/>
  <c r="S48" i="2"/>
  <c r="I48" i="2"/>
  <c r="AB47" i="2"/>
  <c r="Y47" i="2"/>
  <c r="S47" i="2"/>
  <c r="I47" i="2"/>
  <c r="AB46" i="2"/>
  <c r="Y46" i="2"/>
  <c r="S46" i="2"/>
  <c r="I46" i="2"/>
  <c r="AB45" i="2"/>
  <c r="Y45" i="2"/>
  <c r="S45" i="2"/>
  <c r="I45" i="2"/>
  <c r="AB44" i="2"/>
  <c r="Y44" i="2"/>
  <c r="S44" i="2"/>
  <c r="I44" i="2"/>
  <c r="AB43" i="2"/>
  <c r="Y43" i="2"/>
  <c r="S43" i="2"/>
  <c r="I43" i="2"/>
  <c r="AB42" i="2"/>
  <c r="Y42" i="2"/>
  <c r="S42" i="2"/>
  <c r="I42" i="2"/>
  <c r="AB41" i="2"/>
  <c r="Y41" i="2"/>
  <c r="S41" i="2"/>
  <c r="I41" i="2"/>
  <c r="AB40" i="2"/>
  <c r="Y40" i="2"/>
  <c r="S40" i="2"/>
  <c r="I40" i="2"/>
  <c r="AB39" i="2"/>
  <c r="Y39" i="2"/>
  <c r="S39" i="2"/>
  <c r="I39" i="2"/>
  <c r="AB38" i="2"/>
  <c r="Y38" i="2"/>
  <c r="S38" i="2"/>
  <c r="I38" i="2"/>
  <c r="AB37" i="2"/>
  <c r="Y37" i="2"/>
  <c r="S37" i="2"/>
  <c r="I37" i="2"/>
  <c r="AB36" i="2"/>
  <c r="Y36" i="2"/>
  <c r="S36" i="2"/>
  <c r="I36" i="2"/>
  <c r="AB35" i="2"/>
  <c r="Y35" i="2"/>
  <c r="S35" i="2"/>
  <c r="I35" i="2"/>
  <c r="AB34" i="2"/>
  <c r="Y34" i="2"/>
  <c r="S34" i="2"/>
  <c r="I34" i="2"/>
  <c r="AB33" i="2"/>
  <c r="Y33" i="2"/>
  <c r="S33" i="2"/>
  <c r="I33" i="2"/>
  <c r="AB32" i="2"/>
  <c r="Y32" i="2"/>
  <c r="S32" i="2"/>
  <c r="I32" i="2"/>
  <c r="AB31" i="2"/>
  <c r="Y31" i="2"/>
  <c r="S31" i="2"/>
  <c r="I31" i="2"/>
  <c r="AB30" i="2"/>
  <c r="Y30" i="2"/>
  <c r="S30" i="2"/>
  <c r="I30" i="2"/>
  <c r="AB29" i="2"/>
  <c r="Y29" i="2"/>
  <c r="S29" i="2"/>
  <c r="I29" i="2"/>
  <c r="AB28" i="2"/>
  <c r="Y28" i="2"/>
  <c r="S28" i="2"/>
  <c r="I28" i="2"/>
  <c r="AB27" i="2"/>
  <c r="Y27" i="2"/>
  <c r="S27" i="2"/>
  <c r="I27" i="2"/>
  <c r="AB26" i="2"/>
  <c r="Y26" i="2"/>
  <c r="S26" i="2"/>
  <c r="I26" i="2"/>
  <c r="AB25" i="2"/>
  <c r="Y25" i="2"/>
  <c r="S25" i="2"/>
  <c r="I25" i="2"/>
  <c r="AB24" i="2"/>
  <c r="Y24" i="2"/>
  <c r="S24" i="2"/>
  <c r="I24" i="2"/>
  <c r="AB23" i="2"/>
  <c r="Y23" i="2"/>
  <c r="S23" i="2"/>
  <c r="I23" i="2"/>
  <c r="AB22" i="2"/>
  <c r="Y22" i="2"/>
  <c r="S22" i="2"/>
  <c r="I22" i="2"/>
  <c r="AB21" i="2"/>
  <c r="Y21" i="2"/>
  <c r="S21" i="2"/>
  <c r="I21" i="2"/>
  <c r="AB20" i="2"/>
  <c r="Y20" i="2"/>
  <c r="S20" i="2"/>
  <c r="I20" i="2"/>
  <c r="AB19" i="2"/>
  <c r="Y19" i="2"/>
  <c r="S19" i="2"/>
  <c r="I19" i="2"/>
  <c r="AB18" i="2"/>
  <c r="Y18" i="2"/>
  <c r="S18" i="2"/>
  <c r="I18" i="2"/>
  <c r="AB17" i="2"/>
  <c r="Y17" i="2"/>
  <c r="S17" i="2"/>
  <c r="I17" i="2"/>
  <c r="AB16" i="2"/>
  <c r="Y16" i="2"/>
  <c r="S16" i="2"/>
  <c r="I16" i="2"/>
  <c r="AB15" i="2"/>
  <c r="Y15" i="2"/>
  <c r="S15" i="2"/>
  <c r="I15" i="2"/>
  <c r="AB14" i="2"/>
  <c r="Y14" i="2"/>
  <c r="S14" i="2"/>
  <c r="I14" i="2"/>
  <c r="AB13" i="2"/>
  <c r="Y13" i="2"/>
  <c r="S13" i="2"/>
  <c r="I13" i="2"/>
  <c r="AB12" i="2"/>
  <c r="Y12" i="2"/>
  <c r="S12" i="2"/>
  <c r="I12" i="2"/>
  <c r="AB11" i="2"/>
  <c r="Y11" i="2"/>
  <c r="S11" i="2"/>
  <c r="I11" i="2"/>
  <c r="AB10" i="2"/>
  <c r="Y10" i="2"/>
  <c r="S10" i="2"/>
  <c r="I10" i="2"/>
  <c r="AB9" i="2"/>
  <c r="Y9" i="2"/>
  <c r="S9" i="2"/>
  <c r="I9" i="2"/>
  <c r="AB8" i="2"/>
  <c r="Y8" i="2"/>
  <c r="S8" i="2"/>
  <c r="I8" i="2"/>
  <c r="AB7" i="2"/>
  <c r="Y7" i="2"/>
  <c r="S7" i="2"/>
  <c r="I7" i="2"/>
  <c r="AB6" i="2"/>
  <c r="Y6" i="2"/>
  <c r="S6" i="2"/>
  <c r="I6" i="2"/>
  <c r="AB5" i="2"/>
  <c r="Y5" i="2"/>
  <c r="S5" i="2"/>
  <c r="I5" i="2"/>
  <c r="AB4" i="2"/>
  <c r="Y4" i="2"/>
  <c r="S4" i="2"/>
  <c r="I4" i="2"/>
  <c r="B19" i="1"/>
  <c r="B18" i="1"/>
  <c r="B17" i="1"/>
  <c r="B16" i="1"/>
  <c r="B15" i="1"/>
  <c r="B14" i="1"/>
  <c r="B13" i="1"/>
  <c r="B12" i="1"/>
  <c r="B11" i="1"/>
  <c r="B10" i="1"/>
  <c r="B9" i="1"/>
  <c r="B8" i="1"/>
  <c r="B7" i="1"/>
  <c r="B6" i="1"/>
  <c r="B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G3" authorId="0" shapeId="0" xr:uid="{00000000-0006-0000-0100-000001000000}">
      <text>
        <r>
          <rPr>
            <sz val="11"/>
            <color theme="1"/>
            <rFont val="Calibri"/>
            <family val="2"/>
            <charset val="1"/>
          </rPr>
          <t>Diện tích theo phương án bồi thường/dự án được cấp thẩm quyền phê duyệt. Xem Sheet 'Chú thích' - mục 1.</t>
        </r>
      </text>
    </comment>
    <comment ref="H3" authorId="0" shapeId="0" xr:uid="{00000000-0006-0000-0100-000002000000}">
      <text>
        <r>
          <rPr>
            <sz val="11"/>
            <color theme="1"/>
            <rFont val="Calibri"/>
            <family val="2"/>
            <charset val="1"/>
          </rPr>
          <t>Chỉ tiêu quy định tại Thông tư 44/2026/TT-BTC, Mẫu số 03, mục II.1.2. Xem Sheet 'Chú thích' - mục 2.</t>
        </r>
      </text>
    </comment>
    <comment ref="J3" authorId="0" shapeId="0" xr:uid="{00000000-0006-0000-0100-000003000000}">
      <text>
        <r>
          <rPr>
            <sz val="11"/>
            <color theme="1"/>
            <rFont val="Calibri"/>
            <family val="2"/>
            <charset val="1"/>
          </rPr>
          <t>Mốc theo dõi theo trình tự bồi thường tại Nghị định 88/2024/NĐ-CP. Xem Sheet 'Chú thích' - mục 4.</t>
        </r>
      </text>
    </comment>
    <comment ref="Q3" authorId="0" shapeId="0" xr:uid="{00000000-0006-0000-0100-000004000000}">
      <text>
        <r>
          <rPr>
            <sz val="11"/>
            <color theme="1"/>
            <rFont val="Calibri"/>
            <family val="2"/>
            <charset val="1"/>
          </rPr>
          <t>Theo phương án bồi thường được duyệt - đối chiếu chỉ tiêu TT44/2026 Mẫu 03. Xem Sheet 'Chú thích' - mục 5.</t>
        </r>
      </text>
    </comment>
    <comment ref="R3" authorId="0" shapeId="0" xr:uid="{00000000-0006-0000-0100-000005000000}">
      <text>
        <r>
          <rPr>
            <sz val="11"/>
            <color theme="1"/>
            <rFont val="Calibri"/>
            <family val="2"/>
            <charset val="1"/>
          </rPr>
          <t>Chỉ tiêu quy định tại Thông tư 44/2026/TT-BTC, Mẫu số 03, mục II.1.2. Xem Sheet 'Chú thích' - mục 6.</t>
        </r>
      </text>
    </comment>
    <comment ref="T3" authorId="0" shapeId="0" xr:uid="{00000000-0006-0000-0100-000006000000}">
      <text>
        <r>
          <rPr>
            <sz val="11"/>
            <color theme="1"/>
            <rFont val="Calibri"/>
            <family val="2"/>
            <charset val="1"/>
          </rPr>
          <t>Theo dõi công tác tái định cư theo Nghị định 88/2024/NĐ-CP. Xem Sheet 'Chú thích' - mục 8.</t>
        </r>
      </text>
    </comment>
    <comment ref="W3" authorId="0" shapeId="0" xr:uid="{00000000-0006-0000-0100-000007000000}">
      <text>
        <r>
          <rPr>
            <sz val="11"/>
            <color theme="1"/>
            <rFont val="Calibri"/>
            <family val="2"/>
            <charset val="1"/>
          </rPr>
          <t>Kế hoạch vốn đầu tư công theo Luật Đầu tư công 58/2024/QH15 và Nghị định 85/2025/NĐ-CP. Xem Sheet 'Chú thích' - mục 9.</t>
        </r>
      </text>
    </comment>
    <comment ref="Z3" authorId="0" shapeId="0" xr:uid="{00000000-0006-0000-0100-000008000000}">
      <text>
        <r>
          <rPr>
            <sz val="11"/>
            <color theme="1"/>
            <rFont val="Calibri"/>
            <family val="2"/>
            <charset val="1"/>
          </rPr>
          <t>Tiến độ theo Quyết định phê duyệt dự án. Xem Sheet 'Chú thích' - mục 12.</t>
        </r>
      </text>
    </comment>
    <comment ref="AC3" authorId="0" shapeId="0" xr:uid="{00000000-0006-0000-0100-000009000000}">
      <text>
        <r>
          <rPr>
            <sz val="11"/>
            <color theme="1"/>
            <rFont val="Calibri"/>
            <family val="2"/>
            <charset val="1"/>
          </rPr>
          <t>Phân loại nội bộ phục vụ tổng hợp báo cáo. Xem Sheet 'Chú thích' - mục 15.</t>
        </r>
      </text>
    </comment>
  </commentList>
</comments>
</file>

<file path=xl/sharedStrings.xml><?xml version="1.0" encoding="utf-8"?>
<sst xmlns="http://schemas.openxmlformats.org/spreadsheetml/2006/main" count="1023" uniqueCount="449">
  <si>
    <t>TỔNG HỢP TIẾN ĐỘ BỒI THƯỜNG, GPMB TOÀN THÀNH PHỐ</t>
  </si>
  <si>
    <t>Kỳ báo cáo:</t>
  </si>
  <si>
    <t>Tháng .../20...</t>
  </si>
  <si>
    <t>Chỉ tiêu</t>
  </si>
  <si>
    <t>Giá trị</t>
  </si>
  <si>
    <t>Nguồn / Ghi chú</t>
  </si>
  <si>
    <t>Tổng số dự án đang theo dõi</t>
  </si>
  <si>
    <t>Đếm số dự án có tên tại Danh mục dự án</t>
  </si>
  <si>
    <t>Trong đó - số dự án trọng điểm</t>
  </si>
  <si>
    <t>Theo Danh mục dự án trọng điểm UBND TP ban hành</t>
  </si>
  <si>
    <t>Số dự án đã hoàn thành / cơ bản hoàn thành</t>
  </si>
  <si>
    <t>Số dự án đang triển khai</t>
  </si>
  <si>
    <t>Số dự án chưa triển khai</t>
  </si>
  <si>
    <t>Số dự án chậm tiến độ so với kế hoạch</t>
  </si>
  <si>
    <t>Đếm dự án có Chênh lệch tiến độ (cột Z) &gt; 0 ngày</t>
  </si>
  <si>
    <t>Tổng diện tích phải thu hồi toàn TP (m²)</t>
  </si>
  <si>
    <t>Tổng diện tích đã thu hồi, bàn giao (m²)</t>
  </si>
  <si>
    <t>TT44/2026/TT-BTC Mẫu số 03</t>
  </si>
  <si>
    <t>Tỷ lệ % diện tích hoàn thành toàn TP</t>
  </si>
  <si>
    <t>Tổng giá trị bồi thường theo phương án duyệt (triệu đồng)</t>
  </si>
  <si>
    <t>Giá trị đã chi trả lũy kế toàn TP (triệu đồng)</t>
  </si>
  <si>
    <t>Tỷ lệ % giá trị bồi thường đã chi trả toàn TP</t>
  </si>
  <si>
    <t>Tổng kế hoạch vốn bồi thường, GPMB năm toàn TP (triệu đồng)</t>
  </si>
  <si>
    <t>Luật Đầu tư công 58/2024/QH15, NĐ 85/2025/NĐ-CP</t>
  </si>
  <si>
    <t>Giá trị giải ngân lũy kế toàn TP (triệu đồng)</t>
  </si>
  <si>
    <t>Tỷ lệ % giải ngân vốn so với kế hoạch năm toàn TP</t>
  </si>
  <si>
    <t>THEO DÕI TIẾN ĐỘ BỒI THƯỜNG, HỖ TRỢ, TÁI ĐỊNH CƯ CÁC DỰ ÁN</t>
  </si>
  <si>
    <t>Phòng Kế hoạch - Tài chính tổng hợp, báo cáo Ban Giám đốc Sở và UBND Thành phố. Ô chữ xanh dương là ví dụ minh họa (xóa trước khi dùng); các cột tỷ lệ %/chênh lệch tiến độ đã có sẵn công thức. Xem căn cứ pháp lý của từng cột tại Sheet 'Chú thích - Căn cứ pháp lý'.</t>
  </si>
  <si>
    <t>STT</t>
  </si>
  <si>
    <t>Tên dự án</t>
  </si>
  <si>
    <t>Dự án thành phần
(nếu có)</t>
  </si>
  <si>
    <t>Chủ đầu tư /
Đơn vị GPMB</t>
  </si>
  <si>
    <t>Địa bàn
(Phường/Xã)</t>
  </si>
  <si>
    <t>Nhóm dự án</t>
  </si>
  <si>
    <t>Tổng diện tích
phải thu hồi (m²)</t>
  </si>
  <si>
    <t>Diện tích đã thu hồi,
bàn giao (m²)</t>
  </si>
  <si>
    <t>Tỷ lệ %
hoàn thành diện tích</t>
  </si>
  <si>
    <t>Tổng số hộ/tổ chức
thuộc diện thu hồi đất</t>
  </si>
  <si>
    <t>Số đã có
TB thu hồi đất</t>
  </si>
  <si>
    <t>Số đã
kiểm đếm</t>
  </si>
  <si>
    <t>Số đã có phương án
bồi thường được duyệt</t>
  </si>
  <si>
    <t>Số đã
công khai PA</t>
  </si>
  <si>
    <t>Số đã nhận
tiền bồi thường</t>
  </si>
  <si>
    <t>Số đã bàn giao
mặt bằng</t>
  </si>
  <si>
    <t>Tổng giá trị bồi thường,
hỗ trợ theo phương án duyệt
(triệu đồng)</t>
  </si>
  <si>
    <t>Giá trị đã chi trả
lũy kế (triệu đồng)</t>
  </si>
  <si>
    <t>Tỷ lệ % giá trị
đã chi trả</t>
  </si>
  <si>
    <t>Số hộ thuộc diện
tái định cư</t>
  </si>
  <si>
    <t>Số đã bố trí
nền/căn hộ TĐC</t>
  </si>
  <si>
    <t>Số còn lại
chưa bố trí TĐC</t>
  </si>
  <si>
    <t>Kế hoạch vốn bồi thường,
GPMB năm (triệu đồng)</t>
  </si>
  <si>
    <t>Giá trị giải ngân
lũy kế trong năm (triệu đồng)</t>
  </si>
  <si>
    <t>Tỷ lệ % giải ngân vốn
so với KH năm</t>
  </si>
  <si>
    <t>Mốc hoàn thành GPMB
theo kế hoạch</t>
  </si>
  <si>
    <t>Ngày hoàn thành
thực tế/dự kiến</t>
  </si>
  <si>
    <t>Chênh lệch
tiến độ (ngày)</t>
  </si>
  <si>
    <t>Tình trạng
tổng thể</t>
  </si>
  <si>
    <t>Kỳ báo cáo</t>
  </si>
  <si>
    <t>Ghi chú</t>
  </si>
  <si>
    <t>DATP 1-5 Bồi thường, TĐC và xây dựng đường gom - đường Vành đai 4 TP.HCM</t>
  </si>
  <si>
    <t>DATP 1-5</t>
  </si>
  <si>
    <t>Ban Bồi thường, GPMB TP.HCM</t>
  </si>
  <si>
    <t>Củ Chi</t>
  </si>
  <si>
    <t>Trọng điểm</t>
  </si>
  <si>
    <t>Đang triển khai</t>
  </si>
  <si>
    <t>09/2026</t>
  </si>
  <si>
    <t>Ví dụ minh họa - xóa trước khi nhập số liệu thật</t>
  </si>
  <si>
    <t>Cải tạo rạch Xuyên Tâm</t>
  </si>
  <si>
    <t>Bình Thạnh</t>
  </si>
  <si>
    <t>Cơ bản hoàn thành</t>
  </si>
  <si>
    <t>TỔNG HỢP KHÓ KHĂN, VƯỚNG MẮC VÀ KIẾN NGHỊ</t>
  </si>
  <si>
    <t>Căn cứ: Thông tư 44/2026/TT-BTC, Mẫu số 03 (mục Khó khăn, vướng mắc; Kiến nghị). Xem chi tiết tại Sheet 'Chú thích - Căn cứ pháp lý' (mục 16).</t>
  </si>
  <si>
    <t>Số văn bản/
báo cáo nguồn</t>
  </si>
  <si>
    <t>Loại vướng mắc</t>
  </si>
  <si>
    <t>Nội dung vướng mắc, khó khăn</t>
  </si>
  <si>
    <t>Đơn vị chịu trách nhiệm xử lý</t>
  </si>
  <si>
    <t>Đề xuất, kiến nghị</t>
  </si>
  <si>
    <t>Cấp thẩm quyền xử lý</t>
  </si>
  <si>
    <t>Trạng thái</t>
  </si>
  <si>
    <t>CHÚ THÍCH - CĂN CỨ PHÁP LÝ CỦA TỪNG CHỈ TIÊU / THÔNG TIN</t>
  </si>
  <si>
    <t>Lưu ý: một số chỉ tiêu được nêu đích danh trong mẫu báo cáo tại Thông tư 44/2026/TT-BTC; một số chỉ tiêu khác (kiểm đếm, phương án duyệt, bố trí tái định cư...) là mốc theo dõi nội bộ cụ thể hóa các bước trong trình tự, thủ tục bồi thường quy định tại Nghị định 88/2024/NĐ-CP, không phải chỉ tiêu bắt buộc nêu tên riêng trong mẫu biểu.</t>
  </si>
  <si>
    <t>Sheet / Cột</t>
  </si>
  <si>
    <t>Chỉ tiêu, thông tin</t>
  </si>
  <si>
    <t>Ý nghĩa - cách tính</t>
  </si>
  <si>
    <t>Căn cứ pháp lý</t>
  </si>
  <si>
    <t>Danh mục dự án - Cột G</t>
  </si>
  <si>
    <t>Tổng diện tích phải thu hồi (m²)</t>
  </si>
  <si>
    <t>Diện tích đất phải thu hồi theo phương án bồi thường, hỗ trợ, TĐC đã được cấp thẩm quyền phê duyệt.</t>
  </si>
  <si>
    <t>Nêu tại Quyết định phê duyệt dự án/dự án thành phần bồi thường, GPMB (ví dụ Điều 1 Quyết định phê duyệt DATP).</t>
  </si>
  <si>
    <t>Danh mục dự án - Cột H</t>
  </si>
  <si>
    <t>Diện tích đã thu hồi, bàn giao (m²)</t>
  </si>
  <si>
    <t>Khối lượng thực hiện công tác thu hồi đất đến kỳ báo cáo.</t>
  </si>
  <si>
    <t>Thông tư 44/2026/TT-BTC (Bộ Tài chính), Mẫu số 03, mục II.1.2: "Tổng diện tích đất được thu hồi và bàn giao đến thời điểm báo cáo".</t>
  </si>
  <si>
    <t>Danh mục dự án - Cột I</t>
  </si>
  <si>
    <t>Tỷ lệ % hoàn thành diện tích</t>
  </si>
  <si>
    <t>Công thức = H/G. Chỉ số tính toán nội bộ, phản ánh trực tiếp 2 chỉ tiêu tại TT44/2026.</t>
  </si>
  <si>
    <t>Không phải chỉ tiêu bắt buộc riêng - suy ra từ 2 chỉ tiêu tại TT44/2026 Mẫu 03.</t>
  </si>
  <si>
    <t>Danh mục dự án - Cột J, K-P</t>
  </si>
  <si>
    <t>Tổng số hộ/tổ chức thuộc diện thu hồi đất (J); số đã có TB thu hồi đất (K); số đã kiểm đếm (L); số đã có phương án bồi thường được duyệt (M); số đã công khai phương án bồi thường (N); số đã nhận tiền bồi thường (O); số đã bàn giao mặt bằng (P)</t>
  </si>
  <si>
    <t>Theo dõi tiến độ theo từng bước của trình tự bồi thường: thông báo thu hồi đất → kiểm đếm → lập/thẩm định/phê duyệt phương án → công khai phương án → chi trả → bàn giao mặt bằng.</t>
  </si>
  <si>
    <t>Nghị định 88/2024/NĐ-CP quy định về bồi thường, hỗ trợ, tái định cư khi Nhà nước thu hồi đất (trình tự, thủ tục thực hiện). Đây là các mốc theo dõi nội bộ cụ thể hóa quy trình tại Nghị định này. (Cột K, N bổ sung ngày cập nhật để khớp với báo cáo định kỳ thực tế của đơn vị GPMB.)</t>
  </si>
  <si>
    <t>Danh mục dự án - Cột Q</t>
  </si>
  <si>
    <t>Tổng giá trị bồi thường, hỗ trợ theo phương án duyệt (triệu đồng)</t>
  </si>
  <si>
    <t>Giá trị theo phương án bồi thường, hỗ trợ, TĐC được cấp thẩm quyền phê duyệt.</t>
  </si>
  <si>
    <t>Thông tư 44/2026/TT-BTC, Mẫu số 03, mục II.1.2 (dùng làm mẫu số tính tỷ lệ giải ngân bồi thường).</t>
  </si>
  <si>
    <t>Danh mục dự án - Cột R</t>
  </si>
  <si>
    <t>Giá trị đã chi trả lũy kế (triệu đồng)</t>
  </si>
  <si>
    <t>Giá trị đã chi trả bồi thường đến kỳ báo cáo.</t>
  </si>
  <si>
    <t>Thông tư 44/2026/TT-BTC, Mẫu số 03, mục II.1.2: "Giá trị bồi thường đến thời điểm báo cáo so với tổng giá trị bồi thường theo phương án bồi thường, hỗ trợ, tái định cư".</t>
  </si>
  <si>
    <t>Danh mục dự án - Cột S</t>
  </si>
  <si>
    <t>Tỷ lệ % giá trị đã chi trả</t>
  </si>
  <si>
    <t>Công thức = R/Q. Trực tiếp phản ánh chỉ tiêu nêu tại TT44/2026 Mẫu 03.</t>
  </si>
  <si>
    <t>Thông tư 44/2026/TT-BTC, Mẫu số 03, mục II.1.2.</t>
  </si>
  <si>
    <t>Danh mục dự án - Cột T-V</t>
  </si>
  <si>
    <t>Số hộ thuộc diện TĐC; số đã bố trí; số còn lại chưa bố trí</t>
  </si>
  <si>
    <t>Theo dõi công tác bố trí nền đất/căn hộ tái định cư cho hộ dân bị ảnh hưởng.</t>
  </si>
  <si>
    <t>Nghị định 88/2024/NĐ-CP (quy định về tái định cư khi Nhà nước thu hồi đất).</t>
  </si>
  <si>
    <t>Danh mục dự án - Cột W</t>
  </si>
  <si>
    <t>Kế hoạch vốn bồi thường, GPMB năm (triệu đồng)</t>
  </si>
  <si>
    <t>Kế hoạch vốn đầu tư công được giao trong năm cho hạng mục bồi thường, GPMB của dự án.</t>
  </si>
  <si>
    <t>Luật Đầu tư công số 58/2024/QH15; Nghị định 85/2025/NĐ-CP quy định chi tiết thi hành Luật Đầu tư công (lập, giao, theo dõi kế hoạch đầu tư công).</t>
  </si>
  <si>
    <t>Danh mục dự án - Cột X</t>
  </si>
  <si>
    <t>Giá trị giải ngân lũy kế trong năm (triệu đồng)</t>
  </si>
  <si>
    <t>Giá trị đã giải ngân từ kế hoạch vốn nêu trên, cập nhật định kỳ.</t>
  </si>
  <si>
    <t>Luật Đầu tư công 58/2024/QH15, NĐ 85/2025/NĐ-CP; đồng thời là số liệu cập nhật định kỳ hằng tháng theo Điều 5 Thông tư 44/2026/TT-BTC.</t>
  </si>
  <si>
    <t>Danh mục dự án - Cột Y</t>
  </si>
  <si>
    <t>Tỷ lệ % giải ngân vốn so với KH năm</t>
  </si>
  <si>
    <t>Công thức = X/W.</t>
  </si>
  <si>
    <t>Suy ra từ 2 chỉ tiêu tại mục U, V nêu trên.</t>
  </si>
  <si>
    <t>Danh mục dự án - Cột Z</t>
  </si>
  <si>
    <t>Mốc hoàn thành GPMB theo kế hoạch</t>
  </si>
  <si>
    <t>Thời hạn hoàn thành công tác bồi thường, GPMB theo tiến độ được duyệt.</t>
  </si>
  <si>
    <t>Nêu tại Quyết định phê duyệt dự án/dự án thành phần (mục tiến độ thực hiện).</t>
  </si>
  <si>
    <t>Danh mục dự án - Cột AA-AB</t>
  </si>
  <si>
    <t>Ngày hoàn thành thực tế/dự kiến; Chênh lệch tiến độ (ngày)</t>
  </si>
  <si>
    <t>Theo dõi nội bộ, cập nhật theo báo cáo của đơn vị GPMB; Chênh lệch = AA - Z (dương là chậm tiến độ).</t>
  </si>
  <si>
    <t>Thông tư 44/2026/TT-BTC, Mẫu số 03, mục II.1.1 "Tiến độ thực hiện dự án".</t>
  </si>
  <si>
    <t>Danh mục dự án - Cột AC</t>
  </si>
  <si>
    <t>Tình trạng tổng thể</t>
  </si>
  <si>
    <t>Phân loại theo dõi nội bộ phục vụ tổng hợp báo cáo cho Ban Giám đốc Sở và UBND Thành phố.</t>
  </si>
  <si>
    <t>Dựa trên yêu cầu đánh giá kết quả thực hiện so với tiến độ được phê duyệt tại TT44/2026 Mẫu 03.</t>
  </si>
  <si>
    <t>Danh mục dự án - Cột F</t>
  </si>
  <si>
    <t>Nhóm dự án (Trọng điểm/Thường)</t>
  </si>
  <si>
    <t>Phân loại dự án trọng điểm để ưu tiên theo dõi, báo cáo riêng.</t>
  </si>
  <si>
    <t>Theo Danh mục dự án trọng điểm do UBND Thành phố phê duyệt/cập nhật theo từng thời kỳ (không phải một văn bản luật cố định - cần đối chiếu danh mục hiện hành).</t>
  </si>
  <si>
    <t>Khó khăn - Kiến nghị (toàn Sheet)</t>
  </si>
  <si>
    <t>Loại vướng mắc, số văn bản/báo cáo nguồn, nội dung, đơn vị xử lý, đề xuất, cấp thẩm quyền</t>
  </si>
  <si>
    <t>Ghi nhận khó khăn, vướng mắc và đề xuất xử lý theo từng dự án để tổng hợp báo cáo.</t>
  </si>
  <si>
    <t>Thông tư 44/2026/TT-BTC, Mẫu số 03 (mục "Khó khăn, vướng mắc" và "Kiến nghị"); thực tiễn chỉ đạo, điều hành của Sở Nông nghiệp và Môi trường TP.HCM (công văn đôn đốc tiến độ GPMB gửi UBND các phường, xã).</t>
  </si>
  <si>
    <t>Khung pháp lý chung (toàn bộ workbook)</t>
  </si>
  <si>
    <t>Chế độ báo cáo giám sát, đánh giá đầu tư định kỳ</t>
  </si>
  <si>
    <t>Căn cứ xác lập trách nhiệm, kỳ hạn báo cáo (6 tháng/cả năm) và hệ thống mẫu biểu.</t>
  </si>
  <si>
    <t>Nghị định 19/2026/NĐ-CP ngày 14/01/2026 (sửa đổi, bổ sung bởi Nghị định 96/2026/NĐ-CP) quy định trình tự, thủ tục thẩm định dự án quan trọng quốc gia và giám sát, đánh giá đầu tư; Thông tư 44/2026/TT-BTC ngày 22/4/2026 của Bộ Tài chính (thay thế Thông tư 05/2023/TT-BKHĐT).</t>
  </si>
  <si>
    <t>Danh mục dự án - Cột AC (gợi ý quy ước phân loại)</t>
  </si>
  <si>
    <t>Ngưỡng tham khảo để phân loại thống nhất</t>
  </si>
  <si>
    <t>Gợi ý: Tỷ lệ lũy kế các bước ≥95% và không còn vướng mắc pháp lý treo → "Cơ bản hoàn thành"/"Đã hoàn thành"; đang có vướng mắc chờ tòa án/cấp thẩm quyền xử lý hoặc chưa đủ hồ sơ pháp lý → xếp "Đang triển khai" kèm ghi chú vướng mắc; chưa phát sinh số liệu thực hiện → "Chưa triển khai".</t>
  </si>
  <si>
    <t>Quy ước nội bộ của KHTC để thống nhất cách đánh giá giữa các dự án - không phải chỉ tiêu bắt buộc theo TT44/2026.</t>
  </si>
  <si>
    <t>Khu vực Thành phố Hồ Chí Minh cũ</t>
  </si>
  <si>
    <t>Khu vực Bà Rịa - Vũng Tàu cũ</t>
  </si>
  <si>
    <t xml:space="preserve"> Ban QLDA ĐTXD phường Thủ Dầu Một</t>
  </si>
  <si>
    <t>Tên Ban BTGPMB</t>
  </si>
  <si>
    <t>Tên tài khoản (Slug)</t>
  </si>
  <si>
    <t>Ban Quản lý khu công nghệ cao</t>
  </si>
  <si>
    <t>Ban Quản lý Đường sắt đô thị</t>
  </si>
  <si>
    <t>Ban QLDA ĐTXD phường Vườn Lài</t>
  </si>
  <si>
    <t>Ban QLDA ĐTXD phường Bình Thới</t>
  </si>
  <si>
    <t>Ban QLDA ĐTXD phường Đông Hưng Thuận</t>
  </si>
  <si>
    <t>Ban QLDA phường Hạnh Thông</t>
  </si>
  <si>
    <t>Ban QLDA xã Vĩnh Lộc</t>
  </si>
  <si>
    <t>Ban QLDA xã Tân Vĩnh Lộc</t>
  </si>
  <si>
    <t>Ban QLDA ĐTXD phường Cát Lái</t>
  </si>
  <si>
    <t>Ban QLDA ĐTXD phường Long Bình</t>
  </si>
  <si>
    <t>Ban Quản lý dự án đầu tư xây dựng hạ tầng đô thị Thành phố Hồ Chí Minh</t>
  </si>
  <si>
    <t>Ban QLDA ĐTXD phường Xóm Chiếu</t>
  </si>
  <si>
    <t>Ban QLDA ĐTXD phường Vĩnh Hội</t>
  </si>
  <si>
    <t>Ban QLDA ĐTXD phường An Lạc</t>
  </si>
  <si>
    <t>Ban Quản lý dự án đầu tư xây dựng phường Bình Trị Đông</t>
  </si>
  <si>
    <t>Ban Quản lý dự án Đầu tư xây dựng phường Phước Thắng</t>
  </si>
  <si>
    <t>Ban QLDA ĐTXD các công trình dân dụng và công nghiệp</t>
  </si>
  <si>
    <t>Ban QLDA ĐTXD xã Kim Long</t>
  </si>
  <si>
    <t>Ban QLDA ĐTXD phường Bến Cát</t>
  </si>
  <si>
    <t>Ban QLDA ĐTXD phường Tân Uyên</t>
  </si>
  <si>
    <t>UBND phường Tân Khánh</t>
  </si>
  <si>
    <t>Ban QLDA ĐTXD phường Bình Hòa</t>
  </si>
  <si>
    <t>UBND phường Thuận Giao</t>
  </si>
  <si>
    <t>Ban QLDA ĐTXD phường Lái Thiêu</t>
  </si>
  <si>
    <t>Ban QLDA ĐTXD phường Đông Hòa</t>
  </si>
  <si>
    <t>UBND xã Thường Tân</t>
  </si>
  <si>
    <t>Ban QLDA ĐTXD xã Phú Giáo</t>
  </si>
  <si>
    <t>Vai trò</t>
  </si>
  <si>
    <t>Phòng Kế hoạch - Tài chính Sở</t>
  </si>
  <si>
    <t>KHTC.SNNMT</t>
  </si>
  <si>
    <t>Phòng Bồi thường, hỗ trợ, tái định cư Sở</t>
  </si>
  <si>
    <t>BTTDC.SNNMT</t>
  </si>
  <si>
    <t>Nhập liệu</t>
  </si>
  <si>
    <t>Quản lý hệ thống</t>
  </si>
  <si>
    <t>Quản lý nhập liệu</t>
  </si>
  <si>
    <t>BQLDA.KhuCongNgheCao</t>
  </si>
  <si>
    <t>BQLDA.CongVienLichSu</t>
  </si>
  <si>
    <t>BQLDA.DuongSatDoThi</t>
  </si>
  <si>
    <t>BQLDA.VuonLai</t>
  </si>
  <si>
    <t>BQLDA.BinhThoi</t>
  </si>
  <si>
    <t>BQLDA.DongHungThuan</t>
  </si>
  <si>
    <t>BQLDA.HanhThong</t>
  </si>
  <si>
    <t>BQLDA.VinhLoc</t>
  </si>
  <si>
    <t>BQLDA.TanVinhLoc</t>
  </si>
  <si>
    <t>BQLDA.CatLai</t>
  </si>
  <si>
    <t>BQLDA.LongBinh</t>
  </si>
  <si>
    <t>BQLDA.HaTangDoThi</t>
  </si>
  <si>
    <t>BQLDA.XomChieu</t>
  </si>
  <si>
    <t>BQLDA.VinhHoi</t>
  </si>
  <si>
    <t>BQLDA.BinhDong</t>
  </si>
  <si>
    <t>BQLDA.AnLac</t>
  </si>
  <si>
    <t>BQLDA.BinhTriDong</t>
  </si>
  <si>
    <t>TTQL.GiaoThongHaTang</t>
  </si>
  <si>
    <t>BQLDA.PhuocThang</t>
  </si>
  <si>
    <t>BQLDA.DanDungCongNghiep</t>
  </si>
  <si>
    <t>BQLDA.DA7</t>
  </si>
  <si>
    <t>BQLDA.KimLong</t>
  </si>
  <si>
    <t>BQLDA.BenCat</t>
  </si>
  <si>
    <t>BQLDA.DA8</t>
  </si>
  <si>
    <t>BQLDA.TanUyen</t>
  </si>
  <si>
    <t>UBND.TanKhanh</t>
  </si>
  <si>
    <t>BQLDA.ThuDauMot</t>
  </si>
  <si>
    <t>BQLDA.BinhHoa</t>
  </si>
  <si>
    <t>UBND.ThuanGiao</t>
  </si>
  <si>
    <t>BQLDA.LaiThieu</t>
  </si>
  <si>
    <t>BQLDA.DiAn</t>
  </si>
  <si>
    <t>BQLDA.DongHoa</t>
  </si>
  <si>
    <t>UBND.ThuongTan</t>
  </si>
  <si>
    <t>BQLDA.PhuGiao</t>
  </si>
  <si>
    <t>Chống xói lở bờ sông khu vực cầu Long Kiểng</t>
  </si>
  <si>
    <t>Dự án thành phần 1: bồi thường, hỗ trợ và tái định cư Dự án xây dựng cầu Thủ Thiêm 4</t>
  </si>
  <si>
    <t>Bồi thường, hỗ trợ, tái định cư phục vụ dự án Tuyến đường sắt Bến Thành - Cần Giờ</t>
  </si>
  <si>
    <t>Xây dựng Trường Mầm non Phường 04</t>
  </si>
  <si>
    <t>Xây dựng hạ tầng và đường giao thông khu trường đua Phú Thọ</t>
  </si>
  <si>
    <t>Xây dựng mới Trường Mầm non Phường 7</t>
  </si>
  <si>
    <t>Xây dựng trường THCS Hiệp Phú</t>
  </si>
  <si>
    <t>Xây dựng trường Tiểu học Long Thạnh Mỹ</t>
  </si>
  <si>
    <t>Nâng cấp, cải tạo rạch Bến Mương</t>
  </si>
  <si>
    <t>Xây dựng trường trung học phổ thông Nguyễn Khuyến Quận 4</t>
  </si>
  <si>
    <t>Xây dựng mới trường Trung học Cơ sở Nguyễn Tất Thành</t>
  </si>
  <si>
    <t>Xây dựng mới Trung tâm Y tế Quận 4</t>
  </si>
  <si>
    <t>Di dời, tháo dỡ và thu hồi đất để xây dựng Trường mẫu giáo 4</t>
  </si>
  <si>
    <t>Ban QLDA ĐTXD phường Khánh Hội</t>
  </si>
  <si>
    <t>Di dời, tháo dỡ và thu hồi đất để xây dựng công viên Cù lao Nguyễn Kiệu</t>
  </si>
  <si>
    <t>UBND phường Phú Lâm</t>
  </si>
  <si>
    <t>Nâng cấp, mở rộng đường Bình Đông</t>
  </si>
  <si>
    <t>Ban QLDA phường Chánh Hưng</t>
  </si>
  <si>
    <t>Nâng cấp, mở rộng đường Mạc Vân</t>
  </si>
  <si>
    <t>Ban QLDA phường Bình Đông</t>
  </si>
  <si>
    <t>Ban Quản lý dự án đầu tư xây dựng phường Bình Tân</t>
  </si>
  <si>
    <t>Ban Quản lý dự án đầu tư xây dựng xã Ngãi Giao</t>
  </si>
  <si>
    <t>Đường ĐT744 đoạn từ Km12+000 đến Km 32+000</t>
  </si>
  <si>
    <t>Cải thiện môi trường nước tỉnh Bình Dương</t>
  </si>
  <si>
    <t>Trường tiểu học Tân Vĩnh Hiệp B</t>
  </si>
  <si>
    <t>Nâng cấp mở rộng tuyến đường ĐH 401 Phường Thái Hòa</t>
  </si>
  <si>
    <t>Giải phóng mặt bằng đường dọc Suối Cái thành phố Tân Uyên</t>
  </si>
  <si>
    <t>Xây dựng đường nối từ Quốc lộ 1K đến Đường số 2 KCN Dapark</t>
  </si>
  <si>
    <t>Nâng cấp, mở rộng tuyến đường từ ĐH606 đến giáp đường vành đai Bắc Mỹ Phước</t>
  </si>
  <si>
    <t>Xây dựng cầu Đò mới qua sông Thị Tính</t>
  </si>
  <si>
    <t>Nâng cấp tuyến đường Phú An 022</t>
  </si>
  <si>
    <t>Nâng cấp mở rộng tuyến đường Tân Định 016</t>
  </si>
  <si>
    <t>Chuẩn bị mặt bằng để xây dựng hạ tầng Trường THCS Hòa Lợi</t>
  </si>
  <si>
    <t>Ban QLDA ĐTXD phường Hòa Lợi</t>
  </si>
  <si>
    <t>Bồi thường GPMB cho dự án Trung tâm VHTT TX Thuận An</t>
  </si>
  <si>
    <t>GPMB Quốc lộ 13 đoạn từ nút Tự Do đến ngã tư Lê Hồng Phong</t>
  </si>
  <si>
    <t>GPMB Quốc lộ 13 đoạn từ cầu Ông Bố đến nút giao Hữu Nghị</t>
  </si>
  <si>
    <t>GPMB Quốc lộ 13 đoạn từ Cổng chào Vĩnh Phú đến cầu Ông Bố</t>
  </si>
  <si>
    <t>Dự án Giải phóng mặt bằng đường ven sông Sài Gòn (đoạn từ đường Gia Long đến đường Vĩnh Phú 40)</t>
  </si>
  <si>
    <t>Dự án Giải phóng mặt bằng đường ven sông Sài Gòn (đoạn từ rạch Bình Nhâm đến giáp cảng An Sơn)</t>
  </si>
  <si>
    <t>Nâng cấp, mở rộng tuyến đường Lái Thiêu 14</t>
  </si>
  <si>
    <t>Đưởng Vĩnh Phú 32</t>
  </si>
  <si>
    <t>Dự án thành phần 1: Bồi thường, hỗ trợ, tái định cư trên địa bàn quận Bình Tân (nay là Phường An Lạc và Phường Tân Tạo) thuộc dự án Nâng cấp, mở rộng Quốc lộ 1 (từ đường Kinh Dương Vương đến ranh tỉnh Long An) theo phương thức đối tác công tư (Hợp đồng BOT) (nay là đường Lê Khả Phiêu)</t>
  </si>
  <si>
    <t>Dự án thành phần 2: Bồi thường, hỗ trợ, tái định cư huyện Bình Chánh (nay là xã Tân Nhựt, phường Bình Chánh, phường Bình Đông,) thuộc dự án Nâng cấp mở rộng Quốc lộ 1 (từ đường Kinh Dương Vương đến ranh tỉnh Long An) theo phương thức đối tác công tư (hợp đồng BOT ) nay là đường Lê Khả Phiêu)</t>
  </si>
  <si>
    <t>Xây dựng kè chống sạt lở bờ phải sông Cần Giuộc (từ cầu Ông Thìn về thượng lưu)</t>
  </si>
  <si>
    <t>Xây dựng kè chống sạt lở bờ trái sông Sài Gòn khu vực phường Thảo Điền, quận 2</t>
  </si>
  <si>
    <t>Mở rộng, nâng cấp đường HL80B (đoạn từ Nguyễn Ảnh Thủ đến Lê Văn Khương)</t>
  </si>
  <si>
    <t>Xây dựng cầu Kênh Ngang số 2 (đường Hoài Thanh – Lưu Hữu Phước), Phường Phú Định</t>
  </si>
  <si>
    <t>Xây dựng cầu Kênh Ngang số 3 (đường Lưu Hữu Phước), quận 8</t>
  </si>
  <si>
    <t>Nâng cấp, mở rộng đường Nguyễn Duy Trinh (đoạn từ vành đai 2 đến đường vào Khu công nghiệp Phú Hữu)</t>
  </si>
  <si>
    <t>Xây dựng đường Liên phường Thới An - Thạnh Xuân (tuyến 2)</t>
  </si>
  <si>
    <t>Dự án thành phần DATP 1-3: Bồi thường, hỗ trợ, tái định cư và xây dựng đường gom, đường bên trên địa phận thành phố Hồ Chí Minh (đoạn sông Sài Gòn đến kênh Thầy Cai) thuộc Dự án đầu tư xây dựng Đường vành đai 4 thành phố Hồ Chí Minh</t>
  </si>
  <si>
    <t>Dự án thành phần DATP 1-5: Bồi thường, hỗ trợ, tái định cư và xây dựng đường gom, đường bên trên địa phận thành phố Hồ Chí Minh (đoạn từ ranh giới tỉnh Tây Ninh đến cảng Hiệp Phước, Hồ Chí Minh) thuộc Dự án đầu tư xây dựng Đường vành đai 4 thành phố Hồ Chí Minh</t>
  </si>
  <si>
    <t>Dự án thành phần 1- Bồi thường, hỗ trợ và tái định cư dự án xây dựng cầu Cần Giờ thuộc dự án Đầu tư xây dựng cầu Cần Giờ theo phương thức đối tác công tư (PPP)</t>
  </si>
  <si>
    <t>DATP1: Bồi thường, hỗ trợ, tái định cư và di dời HTKT dự án Xây dựng cầu đường Bình Tiên (đoạn từ đường Phạm Văn Chí đến đường Nguyễn Văn Linh)</t>
  </si>
  <si>
    <t>Đầu tư nút giao thông kết nối đường cao tốc Bến Lức – Long Thành với đường Rừng Sác, huyện Cần Giờ</t>
  </si>
  <si>
    <t>Dự án thành phần 1: Bồi thường, hỗ trợ, tái định cư dự án Đầu tư hoàn chỉnh Nút giao thông Gò Công và nhánh nối đường Xa lộ Hà Nội đến Nút giao thông Gò Công trên Vành đai 3 Thành phố Hồ Chí Minh</t>
  </si>
  <si>
    <t>Dự án Nâng cấp đường Lương Định Của (đoạn từ Trần Não đến Nguyễn Thị Định)</t>
  </si>
  <si>
    <t>Dự án Bồi thường, giải phóng mặt bằng và tái định cư Khu Công nghệ cao Thành phố Hồ Chí Minh trên địa bàn Quận 9</t>
  </si>
  <si>
    <t>Bồi thường giải phóng mặt bằng Công viên Lịch sử văn hóa dân tộc (theo QĐ duyệt dự án số 2227/QĐ - TC-BVG ngày 04/3/2008 của Sở Tài Chính )</t>
  </si>
  <si>
    <t>Dự án đầu tư xây dựng tuyến tàu điện ngầm số 2 Thành phố Hồ Chí Minh, tuyến Bến Thành - Tham Lương</t>
  </si>
  <si>
    <t>Bồi thường, hỗ trợ, tái định cư phục vụ Dự án tuyến đường sắt đô thị số 2, đoạn Bến Thành - Thủ Thiêm</t>
  </si>
  <si>
    <t>Xây dựng Trường THPT Đông Hưng Thuận tại khu đất 5,8ha Đài phát sóng Quán Tre</t>
  </si>
  <si>
    <t>Mở rộng đường D3 phường 10 quận Gò Vấp (đoạn từ Phan Văn Trị đến đường Quang Trung)</t>
  </si>
  <si>
    <t>Xây dựng Trường MN Vĩnh Lộc A, xã Vĩnh Lộc A</t>
  </si>
  <si>
    <t>Xây dựng Trường THCS Vĩnh Lộc B (giai đoạn 1)</t>
  </si>
  <si>
    <t>Dự án thành phần 1: Bồi thường, hỗ trợ và tái định cư dự án Nâng cấp, mở rộng Quốc lộ 13 trên địa bàn thành phố Thủ Đức thuộc dự án Nâng cấp, mở rộng Quốc lộ 13 (từ cầu Bình Triệu đến ranh tỉnh Bình Dương)</t>
  </si>
  <si>
    <t>Bồi thường, giải phóng mặt bằng và tái định cư cho dự án mở rộng đường Xa lộ Hà Nội trên địa bàn quận Thủ Đức (đoạn từ cầu Rạch Chiếc đến nút giao thông Thủ Đức (Trạm 2))</t>
  </si>
  <si>
    <t>Xây dựng tuyến đê bao rạch Tra từ Cầu Xáng (Tỉnh lộ 15) đến cầu An Hạ (Quốc lộ 22)</t>
  </si>
  <si>
    <t>Nâng cấp, gia cố cấp bách hệ thống thủy lợi bờ hữu ven sông Sài Gòn (từ rạch Tra đến sông Vàm Thuật) trên địa bàn huyện Hóc Môn và Quận 12</t>
  </si>
  <si>
    <t>Dự án thành phần 2: Bồi thường, hỗ trợ, tái định cư và giải phóng mặt bằng Nạo vét, cải tạo môi trường, xây dựng hạ tầng rạch Văn Thánh, phường Thạnh Mỹ Tây</t>
  </si>
  <si>
    <t>Xây dựng đường số 01 (từ đường Tôn Thất Thuyết đến Hẻm số 326 Đoàn Văn Bơ)</t>
  </si>
  <si>
    <t>Bồi thường giải phóng mặt bằng để xây dựng công viên Hồ Khánh Hội (giai đoạn 3)</t>
  </si>
  <si>
    <t>Bồi thường giải phóng mặt bằng để đầu tư Xây dựng trụ sở Ủy ban nhân dân Phường 1, công viên cây xanh và đường DB1, DB5, Phường 1, Quận 4</t>
  </si>
  <si>
    <t>Dự án Xây dựng Trường Mầm non Rạng Đông 13 - sơ sở 2</t>
  </si>
  <si>
    <t>Xây dựng mới Trường Mầm non Phường 4, Quận 8</t>
  </si>
  <si>
    <t>Xây dựng đường D4 (đoạn từ đường Phạm Thế Hiển đến đường Tạ Quang Bửu, phường 6), nay là phường Bình Đông</t>
  </si>
  <si>
    <t>Nâng cấp mở rộng đường Bùi Tư Toàn, phường An Lạc, quận Bình Tân</t>
  </si>
  <si>
    <t>Nâng cấp mở rộng đường 24A nối dài phường Bình Trị Đông B, quận Bình Tân</t>
  </si>
  <si>
    <t>Nâng cấp mở rộng đường Trương Phước Phan (đoạn từ đường Ấp Chiến Lược đến Tỉnh Lộ 10), phường Bình Trị Đông, quận Bình Tân; nay là phường Bình Trị Đông</t>
  </si>
  <si>
    <t>Xây dựng mới Trụ sở Đảng ủy - Hội đồng nhân dân - Ủy ban nhân dân - Ủy ban Mặt trận Tổ quốc Việt Nam và các Đoàn thể - Trung tâm Phục vụ Hành chính công phường Bình Tân</t>
  </si>
  <si>
    <t>Hạ tầng kỹ thuật Khu xử lý chất thải tập trung Tóc Tiên, thành phố Phú Mỹ (hoàn thiện theo quy hoạch 1/500 được duyệt)</t>
  </si>
  <si>
    <t>Đường Mỹ Xuân-Ngãi Giao-Hòa Bình-Bình Châu (Đường 991)</t>
  </si>
  <si>
    <t>Nạo vét cải tạo kênh Bến Đình, Tp.Vũng Tàu</t>
  </si>
  <si>
    <t>Nâng cấp, cải tạo đường Láng Cát-Long Sơn (đường Hoàng Sa)</t>
  </si>
  <si>
    <t>Nâng cấp, mở rộng Tỉnh lộ 329 (Giai đoạn 2)</t>
  </si>
  <si>
    <t>Nâng cấp, mở rộng tỉnh lộ 994 đoạn từ ngã ba long phù đến cầu sông ray, đoạn nhánh kết nối tỉnh lộ 44b và các cầu trên tuyến</t>
  </si>
  <si>
    <t>Nâng cấp, mở rộng Tỉnh lộ 994 (đường ven biển Vũng Tàu-Bình Châu) đoạn từ cầu Sông Ray Km49+028, 35 đến Khu du lịch nghỉ dưỡng cao cấp Trung Thủy Km70 + 506,55, huyện Xuyên Mộc</t>
  </si>
  <si>
    <t>Nâng cấp tuyến đường Bà Rịa-Châu Pha- Hắc Dịch (ĐT995B)</t>
  </si>
  <si>
    <t>Đường Nguyễn Phong Sắc, Tp.Vũng Tàu</t>
  </si>
  <si>
    <t>Đường Kim Long-Bình Ba, huyện Châu Đức</t>
  </si>
  <si>
    <t>Dự án thành phần số 01: Từ Tỉnh lộ 997 đến Tỉnh lộ 765</t>
  </si>
  <si>
    <t>Dự án thành phần số 02: Từ Tỉnh lộ 765 đến Quốc lộ 56</t>
  </si>
  <si>
    <t>Dự án thành phần 3: Đường giao thông trung tâm xã Láng Lớn, nay là xã Kim Long</t>
  </si>
  <si>
    <t>Đường kết nối Kim Long – Xà Bang, nay là xã Kim Long</t>
  </si>
  <si>
    <t>Nâng cấp, mở rộng đường Hội Bài - Phước Tân (ĐT992) đoạn từ QL51 đến đường cao tốc Biên Hòa - Vũng Tàu</t>
  </si>
  <si>
    <t>DATP 1-1: Bồi thường, hỗ trợ, tái định cư và xây dựng đường gom, đường bên trên địa phận Thành phố Hồ Chí Minh (đoạn từ ngã tư Tóc Tiên - Châu Pha đến cầu Châu Đức) thuộc Dự án đầu tư xây dựng Đường vành đai 4 thành phố Hồ Chí Minh</t>
  </si>
  <si>
    <t>Dự án thành phần 3 thuộc dự án đầu tư xây dựng đường bộ cao tốc Biên Hoà – Vũng Tàu giai đoạn 1 (Hạng mục bổ sung nút giao khác mức liên thông đường Mỹ Xuân - Ngãi Giao và đường gom dân sinh)</t>
  </si>
  <si>
    <t>HTKT khu tái định cư và NOXH phường 12, thành phố Vũng Tàu (khu 24ha)</t>
  </si>
  <si>
    <t>Nâng cấp, mở rộng đường Bắc Sơn, phường Phước Thắng</t>
  </si>
  <si>
    <t>Nạo vét, gia cố Suối Cái từ cầu thợ Ụt đến sông Đồng Nai</t>
  </si>
  <si>
    <t>Khu tái định cư công nghiệp An Tây trên địa bàn thành phố Bến Cát (Giai đoạn 1)</t>
  </si>
  <si>
    <t>Chỉnh trang đô thị và xây dựng Khu lưu niệm cụ Phó bảng Nguyễn Sinh Sắc (dự án thành phần 03: Giải phóng mặt bằng, chỉnh trang đô thị)</t>
  </si>
  <si>
    <t>Ban QLDA ĐTXD các công trình giao thông thành phố (trước đây là Ban QLDA ĐTXD công trình giao thông tỉnh Bình Dương)</t>
  </si>
  <si>
    <t>Dự án thành phần 6: Bồi thường, hỗ trợ và tái định cư đường Vành đai 3 đoạn qua tỉnh Binh Dương</t>
  </si>
  <si>
    <t>Dự án thành phần 1: GPMB đường Cao tốc thành phố HCM - TDM - Chơn Thành-đoạn qua tỉnh BD</t>
  </si>
  <si>
    <t>Dự án thành phần 1: GPMB đường Vành đai 4 - TPHCM đoạn từ cầu Thủ Biên đến sông Sài Gòn</t>
  </si>
  <si>
    <t>NC, MR đường ĐT 748 đoạn từ giáp giao lộ ngã tư Phú Thứ đến vành đai Bắc thị trấn Mỹ Phước</t>
  </si>
  <si>
    <t>NC, MR đường từ ngã 4 Bình Chuẩn đến ngã 3 giao với tuyến đường đài liệt sĩ Tân Phước Khánh</t>
  </si>
  <si>
    <t>Xây dựng hệ thống thoát nước trên ĐT 744 đoạn qua xã Phú An, An Tây</t>
  </si>
  <si>
    <t>Dự án bồi thường, hỗ trợ và tái định cư cho Khu quy hoạch xây dựng các bệnh viện và một số công trình nhà nước</t>
  </si>
  <si>
    <t>Nâng cấp BTNN và XD hệ thống thoát nước tuyến đường Lê quý Đôn ( ĐH 421)</t>
  </si>
  <si>
    <t>Đường từ Huỳnh Văn Lũy đến đường Đồng Cây Viết (đường Liên khu 1-5)</t>
  </si>
  <si>
    <t>Bồi thường, giải phóng mặt bằng Trục thoát nước Bưng Biệp- Suối Cát. TP.TDM</t>
  </si>
  <si>
    <t>Nâng cấp, mở rộng đường phân khu ĐX 144, phường Tương Bình Hiệp, thành phố Thủ Dầu Một, tỉnh Bình Dương</t>
  </si>
  <si>
    <t>Nâng cấp, mở rộng đường phân khu D13 (từ đường 30/4 đến đường An Thạnh 24), phường Phú Thọ</t>
  </si>
  <si>
    <t>NC, MR mặt đường và HTTN trục đường N7 (đường vào Trường THCS tạo nguồn Bình Thắng)</t>
  </si>
  <si>
    <t>Đường ven sông Thị Tính (đoạn từ đường ĐH606 đến ranh dự án Khu dân cư Cầu Đò) và khu công viên ven sông Thị Tính dọc theo Khu dân cư Cầu Đò</t>
  </si>
  <si>
    <t>Chuẩn bị mặt bằng khu quy hoạch xây dựng công trình công cộng tại thửa đất số 405, tờ bản đồ 16, ấp Kiến Điền, xã An Điền</t>
  </si>
  <si>
    <t>Chuẩn bị mặt bằng khu quy hoạch xây dựng công trình công cộng tại thửa đất số 32, tờ bản đồ 42, ấp An Sơn, xã An Điền</t>
  </si>
  <si>
    <t>Chuẩn bị mặt bằng khu quy hoạch xây dựng công trình công cộng tại thửa đất số 12, tờ bản đồ 42, ấp An Sơn, xã An Điền</t>
  </si>
  <si>
    <t>Chuẩn bị mặt bằng khu quy hoạch xây dựng Trụ sở Công an phường tại thửa đất số 119, tờ bản đồ 22, khu phố 2, phường Tân Định</t>
  </si>
  <si>
    <t>Chuẩn bị mặt bằng khu quy hoạch xây dựng Ban chỉ huy quân sự tại thửa đất số 75, tờ bản đồ 15, khu phố 3, phường Tân Định</t>
  </si>
  <si>
    <t>Chuẩn bị mặt bằng khu quy hoạch xây dựng Trường THCS tại thửa đất số 77, tờ bản đồ 15, khu phố 3, phường Tân Định</t>
  </si>
  <si>
    <t>Chuẩn bị mặt bằng khu quy hoạch xây dựng Trường Mầm non tại thửa đất số 26, tờ bản đồ 22, khu phố 2, phường Tân Định</t>
  </si>
  <si>
    <t>BT GPMB trục thoát nước Bưng Biệp- Suối Cát, TX Thuận An</t>
  </si>
  <si>
    <t>Dự án Giải phóng mặt bằng đường ven sông Sài Gòn đoạn từ Quốc Lộ 13 (gần rạch Vĩnh Bình) đến đường Vĩnh Phú 40</t>
  </si>
  <si>
    <t>Giải phóng mặt bằng đường trục Đông Tây TP. Thuận An kết nối Quận 12 qua đường Vĩnh Phú 10 ( đường LKV11 ) đến thành phố Thủ Đức</t>
  </si>
  <si>
    <t>Nâng cấp, mở rộng đường Thuận Giao 17, phường Thuận Giao</t>
  </si>
  <si>
    <t>Đường trục chính Đông Tây, đoạn từ quốc lộ 1A(bến xe Miền Đông mới) đến giáp đường Quốc Lộ 1K</t>
  </si>
  <si>
    <t>Đường vành đai Đông Bắc 2: đoạn từ trục chính Đông Tây (khu vực giữa khu dân cư Bình Nguyên và trường cao đẳng nghề Đồng An) đến giáp đường Mỹ Phước - Tân Vạn</t>
  </si>
  <si>
    <t>Nâng cấp, mở rộng đường 30 tháng 4, phường Bình Thắng, thành phố Dĩ An, tỉnh Bình Dương</t>
  </si>
  <si>
    <t>NC, MR đường Tô Vĩnh Diện</t>
  </si>
  <si>
    <t>Nâng cấp, mở rộng đường Phan Huy Ích, một phần đường số 7 và một phần đường số 12, phường Dĩ An</t>
  </si>
  <si>
    <t>Xây dựng đường Bắc Nam 3 giai đoạn 2</t>
  </si>
  <si>
    <t>Xây dựng Suối Bình Thắng (Đoạn từ Đại học Quốc gia đến Quốc lộ 1A)</t>
  </si>
  <si>
    <t>Mở mới đường Đông Tây (từ Quốc lộ 1K đến đường Trần Hưng Đạo)</t>
  </si>
  <si>
    <t>Xây dựng đường nối từ đường Võ Thị Sáu đến đường GS14, phường Đông Hòa, thành phố Dĩ An, tỉnh Bình Dương</t>
  </si>
  <si>
    <t>Nâng cấp, mở rộng đường D11</t>
  </si>
  <si>
    <t>Dự án Đầu tư mở rộng đường Trần Bình Trọng, phường Vườn Lài (bao gồm các giao lộ trên tuyển)</t>
  </si>
  <si>
    <t>Ban Quản lý Công viên lịch sử Văn hóa-Dân tộc TPHCM</t>
  </si>
  <si>
    <t>BQL DA ĐTXD các công trình giao thông thành phố (trước đây là Ban Quản lý dự án đầu tư xây dựng các công trình giao thông )</t>
  </si>
  <si>
    <t>BQLDA.BinhTan</t>
  </si>
  <si>
    <t>BQLDA.KhanhHoi</t>
  </si>
  <si>
    <t>BQLDA.ChanhHung</t>
  </si>
  <si>
    <t>Ban Quản lý dự án đầu tư xây dựng các công trình giao thông Thành phố (trước đây là Ban QLDA CN Giao thông và Dân dụng tỉnh Bà Rịa -Vũng Tàu cũ)</t>
  </si>
  <si>
    <t>Ban Quản lý dự án đầu tư xây dựng các công trình giao thông Thành phố (trước đây là Ban QLDA Giao thông khu vực và Chuyên ngành Nông nghiệp tỉnh Bà Rịa Vũng Tàu cũ)</t>
  </si>
  <si>
    <t>Trung tâm Quản lý giao thông và Hạ tầng kỹ thuật Thành phố Hồ Chí Minh (trước đây là Trung tâm Quản lý Hạ tầng kỹ thuật Bà Rịa - Vũng tàu)</t>
  </si>
  <si>
    <t>BQLDA.GiaoThong.HCM</t>
  </si>
  <si>
    <t>BQLDA.GiaoThong.NNBRVT</t>
  </si>
  <si>
    <t>BD.BQLDA.GiaoThong.BRVT</t>
  </si>
  <si>
    <t>Ban QLDA ĐT XD phường Dĩ An</t>
  </si>
  <si>
    <t>Ban QLDA ĐTXD phường Bình Dương</t>
  </si>
  <si>
    <t>Ban QLDA ĐTXD xã Dầu Tiếng</t>
  </si>
  <si>
    <t>Ban Quản lý dự án 7 thuộc Ban Quản lý dự án đầu tư xây dựng hạ tầng đô thị Thành phố Hồ Chí Minh</t>
  </si>
  <si>
    <t>Ban Quản lý dự án 8 thuộc Ban Quản lý dự án đầu tư xây dựng hạ tầng đô thị Thành phố Hồ Chí Minh</t>
  </si>
  <si>
    <t>UBND phường Long Nguyên</t>
  </si>
  <si>
    <t>Khu vực Bình Dương cũ</t>
  </si>
  <si>
    <t>BQLDA.BinhDuong</t>
  </si>
  <si>
    <t>BQLDA.GiaoThong.BD</t>
  </si>
  <si>
    <t>BQLDA.HoaLoi</t>
  </si>
  <si>
    <t>BQLDA.DauTieng</t>
  </si>
  <si>
    <t>UBND.LongNguyen</t>
  </si>
  <si>
    <t>UBND.PhuLam</t>
  </si>
  <si>
    <t>Ban QLDA ĐTXD xã Ngãi Giao</t>
  </si>
  <si>
    <t>BQLDA.Ngãi Giao</t>
  </si>
  <si>
    <t>Ban BTGPMB</t>
  </si>
  <si>
    <t>Khu vực</t>
  </si>
  <si>
    <t>Dự án đầu tư xây dựng đường cao tốc TP. Hồ Chí Minh -Mộc Bài giai đoạn 1: Dự án TP3 - Bồi thường, hỗ trợ, tái định cư cao tốc TP. Hồ Chí Minh - Mộc Bài đoạn qua TP. Hồ Chí Minh</t>
  </si>
  <si>
    <t>DATP1: Bồi thường, hỗ trợ, tái định cư và di dời hạ tầng phục vụ dự án Cải tạo, nâng cấp Quốc lộ 22 trên địa bàn huyện Hóc Môn thuộc dự án Cải tạo, nâng cấp Quốc lộ 22 (từ nút giao An Sương đến đường Vành đai 3)</t>
  </si>
  <si>
    <t>Bà Rịa - Vũng tàu cũ</t>
  </si>
  <si>
    <t>Hạ tầng kỹ thuật Khu tái định cư phục vụ Khu Công nghiệp -Đô thị Châu Đức, xã Ngãi Giao</t>
  </si>
  <si>
    <t>Bồi thường, giải phóng mặt bằng, hỗ trợ và tái định cư công trình đường Mỹ Phước -Tân Vạn</t>
  </si>
  <si>
    <t>GPMB công trình đường tạo lực Bắc Tân Uyên - Phú Giáo -Bàu Bàng</t>
  </si>
  <si>
    <t>Nâng cấp mở rộng tuyến đường Tô Vĩnh Diện (đoạn từ cầu xéo đế giáp đường ĐT 747B)</t>
  </si>
  <si>
    <t>Đường theo quy hoạch phân khu N3 (từ đường Nguyễn Văn Lộng đến ranh dự án Khu đô thị sinh thái Chánh Mỹ)</t>
  </si>
  <si>
    <t>Đường Trần Ngọc Lên nối dài, phường Phú Mỹ</t>
  </si>
  <si>
    <t>Mở mới đường phân khu D13 (từ Phạm Ngọc Thạch đến N13), phường Phú Mỹ</t>
  </si>
  <si>
    <t>Xây dựng đường từ cầu Tam Lập đến Đồng Phú thuộc tuyến đường tạo lực Bắc Tân Uyên-Phú Giáo- Bàu Bàng</t>
  </si>
  <si>
    <t>Chỉnh trang suối Vàm Vá (đoạn từ cầu Lễ Trang đến cầu Vàm Vá)</t>
  </si>
  <si>
    <t>Nâng cấp, mở rộng đường ĐT 749A đoạn qua trung tâm xã Long Hòa</t>
  </si>
  <si>
    <t>Bồi thường, hỗ trợ di dời các hộ dân thuộc khu vực có nguy cơ sạt lỡ ven sông Đồng Nai, huyện Bắc Tân Uyên</t>
  </si>
  <si>
    <t>Bồi thường giải phóng mặt bằng để xây dựng Khu căn cứ hậu cần kỹ thuật tại huyện Bắc Tân Uyên</t>
  </si>
  <si>
    <t>Đường Mỹ Phước - Tân Vạn nối dài</t>
  </si>
  <si>
    <t>Loại</t>
  </si>
  <si>
    <t>Dự án trọng điểm cấp bách</t>
  </si>
  <si>
    <t>Dự án Giải phóng mặt bằng đoạn 15,3km thuộc dự án Vành đai 3 TP HCM đoạn đi trùng đường Mỹ Phước - Tân Vạn</t>
  </si>
  <si>
    <t>Khu vực Bình Dương cũ; Không khớp danh mục 148 dự án và có thể là một phần của "Dự án thành phần 6: Bồi thường, hỗ trợ và tái định cư đường Vành đai 3 đoạn qua tỉnh Binh Dương"</t>
  </si>
  <si>
    <t xml:space="preserve">Khu vực Bình Dương cũ; tên trong báo cáo Phòng BTTĐC là Dự án đường Cao tốc thành phố Hồ Chí Minh Thủ Dầu Một - Chơn Thành </t>
  </si>
  <si>
    <t>Dự án Nạo vét, cải tạo môi trường, xây dựng hạ tầng rạch Xuyên Tâm (từ kênh Nhiêu Lộc - Thị Nghè đến sông Vàm Thuật)</t>
  </si>
  <si>
    <t>Khu vực Thành phố Hồ Chí Minh cũ; Không thấy trong danh dách 148 dự án</t>
  </si>
  <si>
    <t>Dự án trọng điểm</t>
  </si>
  <si>
    <t>Dự án giải phóng mặt bằng đường Thủ Biên – Đất Cuốc (bổ sung 12,5km)</t>
  </si>
  <si>
    <t>Khu vực Bình Dương cũ; GPMB đường Thủ Biên - Đất Cuốc</t>
  </si>
  <si>
    <t>Dự án Khu đô thị mới Bình Quới - Thanh Đa</t>
  </si>
  <si>
    <t>Khu vực Thành phố Hồ Chí Minh cũ; Dự án nâng cấp, mở rộng Quốc lộ 1 (từ đường Kinh Dương Vương đến ranh tỉnh Long An) - DA Thành phần 1</t>
  </si>
  <si>
    <t>Khu vực Thành phố Hồ Chí Minh cũ; Dự án nâng cấp, mở rộng Quốc lộ 1 (từ đường Kinh Dương Vương đến ranh tỉnh Long An) - DA Thành phần 2</t>
  </si>
  <si>
    <t>Dự án Khu đô thị mới Thủ Thiêm</t>
  </si>
  <si>
    <t>Dự án xây dựng tuyến kết nối từ đường Phạm Văn Đồng đến nút giao thông Gò Dưa – Quốc lộ 1 (Vành đai 2 đoạn 3) trên địa bàn phường Hiệp Bình và phường Tam Bình</t>
  </si>
  <si>
    <t>Dự án Đầu tư xây dựng Đại học Quốc gia Thành phố</t>
  </si>
  <si>
    <t>Dựa án thành phần</t>
  </si>
  <si>
    <t>Tiến độ thực hiện công tác bồi thường, hỗ trợ, tái định cư trên địa bàn phường Linh Xuân</t>
  </si>
  <si>
    <t>Tiến độ thực hiện công tác Bồi thường, hỗ trợ, tái định cư trên địa bàn phường Đông Hòa</t>
  </si>
  <si>
    <t>Dự án tái định cư Đại học Quốc Gia:</t>
  </si>
  <si>
    <t>Dự án nâng cấp, mở rộng Quốc lộ 1 (từ đường Kinh Dương Vương đến ranh tỉnh Long An)</t>
  </si>
  <si>
    <t>Dự án thành phần 2: Di dời hạ tầng phục vụ dự án cải tạo, nâng cấp Quốc lộ 22 trên địa bàn Quận 12</t>
  </si>
  <si>
    <t>Dự án cải tạo, nâng cấp Quốc lộ 22 (từ An Sương đến đường Vành đai 3) - theo hình thức hợp đồng BOT</t>
  </si>
  <si>
    <t>Dự án Khu liên hợp Thể dục thể thao Quốc gia Rạch Chiếc</t>
  </si>
  <si>
    <t>Dự án đường sắt tốc độ cao trên trục Bắc – Nam</t>
  </si>
  <si>
    <t>Dự án Chỉnh trang đô thị khu Mả Lạng và Chợ Gà - Gạo trên địa bàn phường Cầu Ông Lãnh và phường Bến Thành</t>
  </si>
  <si>
    <t>Đối với khu Chợ Gà - Gạo trên địa bàn phường Bến Thành</t>
  </si>
  <si>
    <t>Đối với khu Mả Lạng trên địa bàn phường Cầu Ông Lãnh</t>
  </si>
  <si>
    <t>Dự án</t>
  </si>
  <si>
    <t>Ban Quản lý Công viên Lịch sử Văn hóa-Dân tộc TPHCM</t>
  </si>
  <si>
    <t>Ban QLDA ĐTXD phường Bình Tân</t>
  </si>
  <si>
    <t>Trung tâm Quản lý giao thông và Hạ tầng kỹ thuật Thành phố Hồ Chí Minh</t>
  </si>
  <si>
    <t>Ban QLDA ĐTXD phường Thủ Dầu Một</t>
  </si>
  <si>
    <t>Ban QLDA ĐTXD phường Dĩ 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</si>
</sst>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dd/mm/yyyy"/>
  </numFmts>
  <fonts count="14" x14ac:knownFonts="1">
    <font>
      <sz val="11"/>
      <color theme="1"/>
      <name val="Calibri"/>
      <family val="2"/>
      <charset val="1"/>
    </font>
    <font>
      <b/>
      <sz val="14"/>
      <color rgb="FF1F4E78"/>
      <name val="Arial"/>
      <family val="2"/>
    </font>
    <font>
      <b/>
      <sz val="10"/>
      <name val="Arial"/>
      <family val="2"/>
    </font>
    <font>
      <sz val="10"/>
      <color rgb="FF0000FF"/>
      <name val="Arial"/>
      <family val="2"/>
    </font>
    <font>
      <b/>
      <sz val="10"/>
      <color rgb="FFFFFFFF"/>
      <name val="Arial"/>
      <family val="2"/>
    </font>
    <font>
      <sz val="10"/>
      <name val="Arial"/>
      <family val="2"/>
    </font>
    <font>
      <b/>
      <sz val="10"/>
      <color rgb="FF008000"/>
      <name val="Arial"/>
      <family val="2"/>
    </font>
    <font>
      <i/>
      <sz val="10"/>
      <color rgb="FF595959"/>
      <name val="Arial"/>
      <family val="2"/>
    </font>
    <font>
      <sz val="10"/>
      <color rgb="FF000000"/>
      <name val="Arial"/>
      <family val="2"/>
    </font>
    <font>
      <sz val="11"/>
      <color rgb="FFFF0000"/>
      <name val="Calibri"/>
      <family val="2"/>
      <charset val="1"/>
    </font>
    <font>
      <sz val="18"/>
      <color theme="1"/>
      <name val="Calibri"/>
      <family val="2"/>
      <charset val="1"/>
    </font>
    <font>
      <sz val="16"/>
      <color theme="1"/>
      <name val="Calibri"/>
      <family val="2"/>
      <charset val="1"/>
    </font>
    <font>
      <sz val="12"/>
      <color theme="1"/>
      <name val="Calibri"/>
      <family val="2"/>
      <charset val="1"/>
    </font>
    <font>
      <sz val="14"/>
      <color theme="1"/>
      <name val="Calibri"/>
      <family val="2"/>
      <charset val="1"/>
    </font>
  </fonts>
  <fills count="4">
    <fill>
      <patternFill patternType="none"/>
    </fill>
    <fill>
      <patternFill patternType="gray125"/>
    </fill>
    <fill>
      <patternFill patternType="solid">
        <fgColor rgb="FF1F4E78"/>
        <bgColor rgb="FF003366"/>
      </patternFill>
    </fill>
    <fill>
      <patternFill patternType="solid">
        <fgColor rgb="FFFFFF00"/>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0">
    <xf numFmtId="0" fontId="0" fillId="0" borderId="0" xfId="0" applyAlignment="1"/>
    <xf numFmtId="0" fontId="0" fillId="0" borderId="0" xfId="0" applyAlignment="1"/>
    <xf numFmtId="0" fontId="0" fillId="0" borderId="0" xfId="0"/>
    <xf numFmtId="0" fontId="1" fillId="0" borderId="0" xfId="0" applyFont="1" applyAlignment="1"/>
    <xf numFmtId="0" fontId="2" fillId="0" borderId="0" xfId="0" applyFont="1" applyAlignment="1"/>
    <xf numFmtId="0" fontId="3" fillId="0" borderId="0" xfId="0" applyFont="1" applyAlignment="1"/>
    <xf numFmtId="0" fontId="4" fillId="2" borderId="1" xfId="0" applyFont="1" applyFill="1" applyBorder="1" applyAlignment="1">
      <alignment horizontal="center" vertical="center" wrapText="1"/>
    </xf>
    <xf numFmtId="0" fontId="5" fillId="0" borderId="1" xfId="0" applyFont="1" applyBorder="1" applyAlignment="1">
      <alignment vertical="top" wrapText="1"/>
    </xf>
    <xf numFmtId="3" fontId="6" fillId="0" borderId="1" xfId="0" applyNumberFormat="1" applyFont="1" applyBorder="1" applyAlignment="1"/>
    <xf numFmtId="0" fontId="7" fillId="0" borderId="1" xfId="0" applyFont="1" applyBorder="1" applyAlignment="1">
      <alignment vertical="top" wrapText="1"/>
    </xf>
    <xf numFmtId="164" fontId="6" fillId="0" borderId="1" xfId="0" applyNumberFormat="1" applyFont="1" applyBorder="1" applyAlignment="1"/>
    <xf numFmtId="0" fontId="3" fillId="0" borderId="1" xfId="0" applyFont="1" applyBorder="1" applyAlignment="1">
      <alignment vertical="center"/>
    </xf>
    <xf numFmtId="0" fontId="3" fillId="0" borderId="1" xfId="0" applyFont="1" applyBorder="1" applyAlignment="1">
      <alignment vertical="center" wrapText="1"/>
    </xf>
    <xf numFmtId="3" fontId="3" fillId="0" borderId="1" xfId="0" applyNumberFormat="1" applyFont="1" applyBorder="1" applyAlignment="1">
      <alignment vertical="center"/>
    </xf>
    <xf numFmtId="164" fontId="8" fillId="0" borderId="1" xfId="0" applyNumberFormat="1" applyFont="1" applyBorder="1" applyAlignment="1">
      <alignment vertical="center"/>
    </xf>
    <xf numFmtId="165" fontId="3" fillId="0" borderId="1" xfId="0" applyNumberFormat="1" applyFont="1" applyBorder="1" applyAlignment="1">
      <alignment vertical="center"/>
    </xf>
    <xf numFmtId="1" fontId="8" fillId="0" borderId="1" xfId="0" applyNumberFormat="1" applyFont="1" applyBorder="1" applyAlignment="1">
      <alignment vertical="center"/>
    </xf>
    <xf numFmtId="0" fontId="5" fillId="0" borderId="1" xfId="0" applyFont="1" applyBorder="1" applyAlignment="1">
      <alignment vertical="center" wrapText="1"/>
    </xf>
    <xf numFmtId="0" fontId="5" fillId="0" borderId="1" xfId="0" applyFont="1" applyBorder="1" applyAlignment="1"/>
    <xf numFmtId="0" fontId="0" fillId="0" borderId="1" xfId="0" applyBorder="1" applyAlignment="1"/>
    <xf numFmtId="3" fontId="0" fillId="0" borderId="1" xfId="0" applyNumberFormat="1" applyBorder="1" applyAlignment="1"/>
    <xf numFmtId="164" fontId="8" fillId="0" borderId="1" xfId="0" applyNumberFormat="1" applyFont="1" applyBorder="1" applyAlignment="1"/>
    <xf numFmtId="165" fontId="0" fillId="0" borderId="1" xfId="0" applyNumberFormat="1" applyBorder="1" applyAlignment="1"/>
    <xf numFmtId="1" fontId="8" fillId="0" borderId="1" xfId="0" applyNumberFormat="1" applyFont="1" applyBorder="1" applyAlignment="1"/>
    <xf numFmtId="0" fontId="0" fillId="0" borderId="1" xfId="0" applyBorder="1" applyAlignment="1">
      <alignment vertical="top" wrapText="1"/>
    </xf>
    <xf numFmtId="0" fontId="0" fillId="0" borderId="0" xfId="0" applyAlignment="1">
      <alignment vertical="center" wrapText="1"/>
    </xf>
    <xf numFmtId="0" fontId="9" fillId="0" borderId="0" xfId="0" applyFont="1" applyAlignment="1">
      <alignment vertical="center" wrapText="1"/>
    </xf>
    <xf numFmtId="0" fontId="0" fillId="0" borderId="0" xfId="0" applyAlignment="1">
      <alignment vertical="center"/>
    </xf>
    <xf numFmtId="0" fontId="11" fillId="0" borderId="0" xfId="0" applyFont="1" applyAlignment="1">
      <alignment vertical="center"/>
    </xf>
    <xf numFmtId="0" fontId="0" fillId="0" borderId="0" xfId="0" applyAlignment="1">
      <alignment horizontal="center" vertical="center"/>
    </xf>
    <xf numFmtId="0" fontId="0" fillId="3" borderId="0" xfId="0" applyFill="1" applyAlignment="1">
      <alignment vertical="center" wrapText="1"/>
    </xf>
    <xf numFmtId="0" fontId="12" fillId="0" borderId="0" xfId="0" applyFont="1" applyAlignment="1">
      <alignment vertical="center"/>
    </xf>
    <xf numFmtId="0" fontId="12" fillId="0" borderId="0" xfId="0" applyFont="1" applyAlignment="1">
      <alignment vertical="center" wrapText="1"/>
    </xf>
    <xf numFmtId="0" fontId="10" fillId="0" borderId="0" xfId="0" applyFont="1" applyAlignment="1">
      <alignment vertical="center"/>
    </xf>
    <xf numFmtId="0" fontId="12" fillId="0" borderId="0" xfId="0" applyFont="1" applyAlignment="1">
      <alignment horizontal="center" vertical="center"/>
    </xf>
    <xf numFmtId="0" fontId="13" fillId="0" borderId="0" xfId="0" applyFont="1" applyAlignment="1">
      <alignment horizontal="center" vertical="center"/>
    </xf>
    <xf numFmtId="0" fontId="1" fillId="0" borderId="0" xfId="0" applyFont="1" applyAlignment="1"/>
    <xf numFmtId="0" fontId="0" fillId="0" borderId="0" xfId="0" applyAlignment="1"/>
    <xf numFmtId="0" fontId="7" fillId="0" borderId="0" xfId="0" applyFont="1" applyAlignment="1"/>
    <xf numFmtId="0" fontId="0" fillId="0" borderId="0" xfId="0"/>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4E78"/>
  </sheetPr>
  <dimension ref="A1:C19"/>
  <sheetViews>
    <sheetView zoomScaleNormal="100" workbookViewId="0">
      <pane ySplit="4" topLeftCell="A5" activePane="bottomLeft" state="frozen"/>
      <selection pane="bottomLeft" activeCell="B25" sqref="B25"/>
    </sheetView>
  </sheetViews>
  <sheetFormatPr defaultColWidth="8.6640625" defaultRowHeight="14.4" x14ac:dyDescent="0.3"/>
  <cols>
    <col min="1" max="1" width="46" style="1" customWidth="1"/>
    <col min="2" max="2" width="16" style="1" customWidth="1"/>
    <col min="3" max="3" width="40" style="1" customWidth="1"/>
  </cols>
  <sheetData>
    <row r="1" spans="1:3" ht="17.399999999999999" customHeight="1" x14ac:dyDescent="0.3">
      <c r="A1" s="36" t="s">
        <v>0</v>
      </c>
      <c r="B1" s="37"/>
      <c r="C1" s="37"/>
    </row>
    <row r="2" spans="1:3" ht="15" customHeight="1" x14ac:dyDescent="0.3">
      <c r="A2" s="4" t="s">
        <v>1</v>
      </c>
      <c r="B2" s="5" t="s">
        <v>2</v>
      </c>
    </row>
    <row r="4" spans="1:3" ht="15" customHeight="1" x14ac:dyDescent="0.3">
      <c r="A4" s="6" t="s">
        <v>3</v>
      </c>
      <c r="B4" s="6" t="s">
        <v>4</v>
      </c>
      <c r="C4" s="6" t="s">
        <v>5</v>
      </c>
    </row>
    <row r="5" spans="1:3" ht="15" customHeight="1" x14ac:dyDescent="0.3">
      <c r="A5" s="7" t="s">
        <v>6</v>
      </c>
      <c r="B5" s="8">
        <f>COUNTA('Danh mục dự án'!B4:B103)</f>
        <v>2</v>
      </c>
      <c r="C5" s="9" t="s">
        <v>7</v>
      </c>
    </row>
    <row r="6" spans="1:3" ht="23.85" customHeight="1" x14ac:dyDescent="0.3">
      <c r="A6" s="7" t="s">
        <v>8</v>
      </c>
      <c r="B6" s="8">
        <f>COUNTIF('Danh mục dự án'!F4:F103,"Trọng điểm")</f>
        <v>2</v>
      </c>
      <c r="C6" s="9" t="s">
        <v>9</v>
      </c>
    </row>
    <row r="7" spans="1:3" ht="15" customHeight="1" x14ac:dyDescent="0.3">
      <c r="A7" s="7" t="s">
        <v>10</v>
      </c>
      <c r="B7" s="8">
        <f>COUNTIF('Danh mục dự án'!AA4:AA103,"Đã hoàn thành")+COUNTIF('Danh mục dự án'!AA4:AA103,"Cơ bản hoàn thành")</f>
        <v>0</v>
      </c>
      <c r="C7" s="9"/>
    </row>
    <row r="8" spans="1:3" ht="15" customHeight="1" x14ac:dyDescent="0.3">
      <c r="A8" s="7" t="s">
        <v>11</v>
      </c>
      <c r="B8" s="8">
        <f>COUNTIF('Danh mục dự án'!AA4:AA103,"Đang triển khai")</f>
        <v>0</v>
      </c>
      <c r="C8" s="9"/>
    </row>
    <row r="9" spans="1:3" ht="15" customHeight="1" x14ac:dyDescent="0.3">
      <c r="A9" s="7" t="s">
        <v>12</v>
      </c>
      <c r="B9" s="8">
        <f>COUNTIF('Danh mục dự án'!AA4:AA103,"Chưa triển khai")</f>
        <v>0</v>
      </c>
      <c r="C9" s="9"/>
    </row>
    <row r="10" spans="1:3" ht="23.85" customHeight="1" x14ac:dyDescent="0.3">
      <c r="A10" s="7" t="s">
        <v>13</v>
      </c>
      <c r="B10" s="8">
        <f>COUNTIF('Danh mục dự án'!Z4:Z103,"&gt;0")</f>
        <v>2</v>
      </c>
      <c r="C10" s="9" t="s">
        <v>14</v>
      </c>
    </row>
    <row r="11" spans="1:3" ht="15" customHeight="1" x14ac:dyDescent="0.3">
      <c r="A11" s="7" t="s">
        <v>15</v>
      </c>
      <c r="B11" s="8">
        <f>SUM('Danh mục dự án'!G4:G103)</f>
        <v>970000</v>
      </c>
      <c r="C11" s="9"/>
    </row>
    <row r="12" spans="1:3" ht="15" customHeight="1" x14ac:dyDescent="0.3">
      <c r="A12" s="7" t="s">
        <v>16</v>
      </c>
      <c r="B12" s="8">
        <f>SUM('Danh mục dự án'!H4:H103)</f>
        <v>438000</v>
      </c>
      <c r="C12" s="9" t="s">
        <v>17</v>
      </c>
    </row>
    <row r="13" spans="1:3" ht="15" customHeight="1" x14ac:dyDescent="0.3">
      <c r="A13" s="7" t="s">
        <v>18</v>
      </c>
      <c r="B13" s="10">
        <f>IFERROR(B12/B11,"")</f>
        <v>0.45154639175257733</v>
      </c>
      <c r="C13" s="9"/>
    </row>
    <row r="14" spans="1:3" ht="23.85" customHeight="1" x14ac:dyDescent="0.3">
      <c r="A14" s="7" t="s">
        <v>19</v>
      </c>
      <c r="B14" s="8">
        <f>SUM('Danh mục dự án'!O4:O103)</f>
        <v>4900</v>
      </c>
      <c r="C14" s="9"/>
    </row>
    <row r="15" spans="1:3" ht="15" customHeight="1" x14ac:dyDescent="0.3">
      <c r="A15" s="7" t="s">
        <v>20</v>
      </c>
      <c r="B15" s="8">
        <f>SUM('Danh mục dự án'!P4:P103)</f>
        <v>4580</v>
      </c>
      <c r="C15" s="9" t="s">
        <v>17</v>
      </c>
    </row>
    <row r="16" spans="1:3" ht="15" customHeight="1" x14ac:dyDescent="0.3">
      <c r="A16" s="7" t="s">
        <v>21</v>
      </c>
      <c r="B16" s="10">
        <f>IFERROR(B15/B14,"")</f>
        <v>0.9346938775510204</v>
      </c>
      <c r="C16" s="9"/>
    </row>
    <row r="17" spans="1:3" ht="23.85" customHeight="1" x14ac:dyDescent="0.3">
      <c r="A17" s="7" t="s">
        <v>22</v>
      </c>
      <c r="B17" s="8">
        <f>SUM('Danh mục dự án'!U4:U103)</f>
        <v>1590</v>
      </c>
      <c r="C17" s="9" t="s">
        <v>23</v>
      </c>
    </row>
    <row r="18" spans="1:3" ht="15" customHeight="1" x14ac:dyDescent="0.3">
      <c r="A18" s="7" t="s">
        <v>24</v>
      </c>
      <c r="B18" s="8">
        <f>SUM('Danh mục dự án'!V4:V103)</f>
        <v>610</v>
      </c>
      <c r="C18" s="9"/>
    </row>
    <row r="19" spans="1:3" ht="15" customHeight="1" x14ac:dyDescent="0.3">
      <c r="A19" s="7" t="s">
        <v>25</v>
      </c>
      <c r="B19" s="10">
        <f>IFERROR(B18/B17,"")</f>
        <v>0.38364779874213839</v>
      </c>
      <c r="C19" s="9"/>
    </row>
  </sheetData>
  <mergeCells count="1">
    <mergeCell ref="A1:C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E75B6"/>
  </sheetPr>
  <dimension ref="A1:AE103"/>
  <sheetViews>
    <sheetView zoomScaleNormal="100" workbookViewId="0">
      <pane xSplit="6" ySplit="3" topLeftCell="G4" activePane="bottomRight" state="frozen"/>
      <selection pane="topRight" activeCell="G1" sqref="G1"/>
      <selection pane="bottomLeft" activeCell="A4" sqref="A4"/>
      <selection pane="bottomRight"/>
    </sheetView>
  </sheetViews>
  <sheetFormatPr defaultColWidth="8.6640625" defaultRowHeight="14.4" x14ac:dyDescent="0.3"/>
  <cols>
    <col min="1" max="1" width="6" style="1" customWidth="1"/>
    <col min="2" max="2" width="28" style="1" customWidth="1"/>
    <col min="3" max="4" width="20" style="1" customWidth="1"/>
    <col min="5" max="5" width="16" style="1" customWidth="1"/>
    <col min="6" max="6" width="12" style="1" customWidth="1"/>
    <col min="7" max="8" width="14" style="1" customWidth="1"/>
    <col min="9" max="9" width="12" style="1" customWidth="1"/>
    <col min="10" max="10" width="14" style="1" customWidth="1"/>
    <col min="11" max="11" width="13" style="1" customWidth="1"/>
    <col min="12" max="12" width="10" style="1" customWidth="1"/>
    <col min="13" max="13" width="14" style="1" customWidth="1"/>
    <col min="14" max="14" width="13" style="2" customWidth="1"/>
    <col min="15" max="15" width="12" style="1" customWidth="1"/>
    <col min="16" max="16" width="14" style="1" customWidth="1"/>
    <col min="17" max="17" width="16" style="1" customWidth="1"/>
    <col min="18" max="18" width="14" style="2" customWidth="1"/>
    <col min="19" max="19" width="12" style="2" customWidth="1"/>
    <col min="20" max="20" width="16" style="1" customWidth="1"/>
    <col min="21" max="23" width="15" style="1" customWidth="1"/>
    <col min="24" max="24" width="14" style="1" customWidth="1"/>
    <col min="25" max="25" width="12" style="2" customWidth="1"/>
    <col min="26" max="27" width="14" style="1" customWidth="1"/>
    <col min="28" max="28" width="12" style="1" customWidth="1"/>
    <col min="29" max="29" width="14" style="1" customWidth="1"/>
    <col min="30" max="30" width="12" style="2" customWidth="1"/>
    <col min="31" max="31" width="22" style="2" customWidth="1"/>
  </cols>
  <sheetData>
    <row r="1" spans="1:31" ht="17.399999999999999" customHeight="1" x14ac:dyDescent="0.3">
      <c r="A1" s="3" t="s">
        <v>26</v>
      </c>
    </row>
    <row r="2" spans="1:31" ht="15" customHeight="1" x14ac:dyDescent="0.3">
      <c r="A2" s="38" t="s">
        <v>27</v>
      </c>
      <c r="B2" s="37"/>
      <c r="C2" s="37"/>
      <c r="D2" s="37"/>
      <c r="E2" s="37"/>
      <c r="F2" s="37"/>
      <c r="G2" s="37"/>
      <c r="H2" s="37"/>
      <c r="I2" s="37"/>
      <c r="J2" s="37"/>
      <c r="K2" s="37"/>
      <c r="L2" s="37"/>
      <c r="M2" s="37"/>
      <c r="N2" s="39"/>
      <c r="O2" s="37"/>
    </row>
    <row r="3" spans="1:31" ht="42" customHeight="1" x14ac:dyDescent="0.3">
      <c r="A3" s="6" t="s">
        <v>28</v>
      </c>
      <c r="B3" s="6" t="s">
        <v>29</v>
      </c>
      <c r="C3" s="6" t="s">
        <v>30</v>
      </c>
      <c r="D3" s="6" t="s">
        <v>31</v>
      </c>
      <c r="E3" s="6" t="s">
        <v>32</v>
      </c>
      <c r="F3" s="6" t="s">
        <v>33</v>
      </c>
      <c r="G3" s="6" t="s">
        <v>34</v>
      </c>
      <c r="H3" s="6" t="s">
        <v>35</v>
      </c>
      <c r="I3" s="6" t="s">
        <v>36</v>
      </c>
      <c r="J3" s="6" t="s">
        <v>37</v>
      </c>
      <c r="K3" s="6" t="s">
        <v>38</v>
      </c>
      <c r="L3" s="6" t="s">
        <v>39</v>
      </c>
      <c r="M3" s="6" t="s">
        <v>40</v>
      </c>
      <c r="N3" s="6" t="s">
        <v>41</v>
      </c>
      <c r="O3" s="6" t="s">
        <v>42</v>
      </c>
      <c r="P3" s="6" t="s">
        <v>43</v>
      </c>
      <c r="Q3" s="6" t="s">
        <v>44</v>
      </c>
      <c r="R3" s="6" t="s">
        <v>45</v>
      </c>
      <c r="S3" s="6" t="s">
        <v>46</v>
      </c>
      <c r="T3" s="6" t="s">
        <v>47</v>
      </c>
      <c r="U3" s="6" t="s">
        <v>48</v>
      </c>
      <c r="V3" s="6" t="s">
        <v>49</v>
      </c>
      <c r="W3" s="6" t="s">
        <v>50</v>
      </c>
      <c r="X3" s="6" t="s">
        <v>51</v>
      </c>
      <c r="Y3" s="6" t="s">
        <v>52</v>
      </c>
      <c r="Z3" s="6" t="s">
        <v>53</v>
      </c>
      <c r="AA3" s="6" t="s">
        <v>54</v>
      </c>
      <c r="AB3" s="6" t="s">
        <v>55</v>
      </c>
      <c r="AC3" s="6" t="s">
        <v>56</v>
      </c>
      <c r="AD3" s="6" t="s">
        <v>57</v>
      </c>
      <c r="AE3" s="6" t="s">
        <v>58</v>
      </c>
    </row>
    <row r="4" spans="1:31" ht="35.1" customHeight="1" x14ac:dyDescent="0.3">
      <c r="A4" s="11">
        <v>1</v>
      </c>
      <c r="B4" s="12" t="s">
        <v>59</v>
      </c>
      <c r="C4" s="12" t="s">
        <v>60</v>
      </c>
      <c r="D4" s="12" t="s">
        <v>61</v>
      </c>
      <c r="E4" s="11" t="s">
        <v>62</v>
      </c>
      <c r="F4" s="11" t="s">
        <v>63</v>
      </c>
      <c r="G4" s="13">
        <v>850000</v>
      </c>
      <c r="H4" s="13">
        <v>320000</v>
      </c>
      <c r="I4" s="14">
        <f t="shared" ref="I4:I35" si="0">IFERROR(H4/G4,"")</f>
        <v>0.37647058823529411</v>
      </c>
      <c r="J4" s="13">
        <v>4200</v>
      </c>
      <c r="K4" s="13">
        <v>4000</v>
      </c>
      <c r="L4" s="13">
        <v>3900</v>
      </c>
      <c r="M4" s="13">
        <v>3600</v>
      </c>
      <c r="N4" s="13">
        <v>3400</v>
      </c>
      <c r="O4" s="13">
        <v>3100</v>
      </c>
      <c r="P4" s="13">
        <v>2800</v>
      </c>
      <c r="Q4" s="13">
        <v>4500000</v>
      </c>
      <c r="R4" s="13">
        <v>1750000</v>
      </c>
      <c r="S4" s="14">
        <f t="shared" ref="S4:S35" si="1">IFERROR(R4/Q4,"")</f>
        <v>0.3888888888888889</v>
      </c>
      <c r="T4" s="13">
        <v>1500</v>
      </c>
      <c r="U4" s="13">
        <v>900</v>
      </c>
      <c r="V4" s="13">
        <v>600</v>
      </c>
      <c r="W4" s="13">
        <v>2000000</v>
      </c>
      <c r="X4" s="13">
        <v>950000</v>
      </c>
      <c r="Y4" s="14">
        <f t="shared" ref="Y4:Y35" si="2">IFERROR(X4/W4,"")</f>
        <v>0.47499999999999998</v>
      </c>
      <c r="Z4" s="15">
        <v>46752</v>
      </c>
      <c r="AA4" s="15">
        <v>46843</v>
      </c>
      <c r="AB4" s="16">
        <f t="shared" ref="AB4:AB35" si="3">IFERROR(AA4-Z4,"")</f>
        <v>91</v>
      </c>
      <c r="AC4" s="11" t="s">
        <v>64</v>
      </c>
      <c r="AD4" s="11" t="s">
        <v>65</v>
      </c>
      <c r="AE4" s="12" t="s">
        <v>66</v>
      </c>
    </row>
    <row r="5" spans="1:31" ht="23.85" customHeight="1" x14ac:dyDescent="0.3">
      <c r="A5" s="11">
        <v>2</v>
      </c>
      <c r="B5" s="12" t="s">
        <v>67</v>
      </c>
      <c r="C5" s="17"/>
      <c r="D5" s="12" t="s">
        <v>61</v>
      </c>
      <c r="E5" s="11" t="s">
        <v>68</v>
      </c>
      <c r="F5" s="11" t="s">
        <v>63</v>
      </c>
      <c r="G5" s="13">
        <v>120000</v>
      </c>
      <c r="H5" s="13">
        <v>118000</v>
      </c>
      <c r="I5" s="14">
        <f t="shared" si="0"/>
        <v>0.98333333333333328</v>
      </c>
      <c r="J5" s="13">
        <v>1850</v>
      </c>
      <c r="K5" s="13">
        <v>1850</v>
      </c>
      <c r="L5" s="13">
        <v>1850</v>
      </c>
      <c r="M5" s="13">
        <v>1820</v>
      </c>
      <c r="N5" s="13">
        <v>1810</v>
      </c>
      <c r="O5" s="13">
        <v>1800</v>
      </c>
      <c r="P5" s="13">
        <v>1780</v>
      </c>
      <c r="Q5" s="13">
        <v>980000</v>
      </c>
      <c r="R5" s="13">
        <v>940000</v>
      </c>
      <c r="S5" s="14">
        <f t="shared" si="1"/>
        <v>0.95918367346938771</v>
      </c>
      <c r="T5" s="13">
        <v>700</v>
      </c>
      <c r="U5" s="13">
        <v>690</v>
      </c>
      <c r="V5" s="13">
        <v>10</v>
      </c>
      <c r="W5" s="13">
        <v>500000</v>
      </c>
      <c r="X5" s="13">
        <v>470000</v>
      </c>
      <c r="Y5" s="14">
        <f t="shared" si="2"/>
        <v>0.94</v>
      </c>
      <c r="Z5" s="15">
        <v>46203</v>
      </c>
      <c r="AA5" s="15">
        <v>46254</v>
      </c>
      <c r="AB5" s="16">
        <f t="shared" si="3"/>
        <v>51</v>
      </c>
      <c r="AC5" s="11" t="s">
        <v>69</v>
      </c>
      <c r="AD5" s="11" t="s">
        <v>65</v>
      </c>
      <c r="AE5" s="12" t="s">
        <v>66</v>
      </c>
    </row>
    <row r="6" spans="1:31" ht="15" customHeight="1" x14ac:dyDescent="0.3">
      <c r="A6" s="18">
        <v>3</v>
      </c>
      <c r="B6" s="19"/>
      <c r="C6" s="19"/>
      <c r="D6" s="19"/>
      <c r="E6" s="19"/>
      <c r="F6" s="19"/>
      <c r="G6" s="20"/>
      <c r="H6" s="20"/>
      <c r="I6" s="21" t="str">
        <f t="shared" si="0"/>
        <v/>
      </c>
      <c r="J6" s="20"/>
      <c r="K6" s="20"/>
      <c r="L6" s="20"/>
      <c r="M6" s="20"/>
      <c r="N6" s="20"/>
      <c r="O6" s="20"/>
      <c r="P6" s="20"/>
      <c r="Q6" s="20"/>
      <c r="R6" s="20"/>
      <c r="S6" s="21" t="str">
        <f t="shared" si="1"/>
        <v/>
      </c>
      <c r="T6" s="20"/>
      <c r="U6" s="20"/>
      <c r="V6" s="20"/>
      <c r="W6" s="20"/>
      <c r="X6" s="20"/>
      <c r="Y6" s="21" t="str">
        <f t="shared" si="2"/>
        <v/>
      </c>
      <c r="Z6" s="22"/>
      <c r="AA6" s="22"/>
      <c r="AB6" s="23">
        <f t="shared" si="3"/>
        <v>0</v>
      </c>
      <c r="AC6" s="19"/>
      <c r="AD6" s="19"/>
      <c r="AE6" s="19"/>
    </row>
    <row r="7" spans="1:31" ht="15" customHeight="1" x14ac:dyDescent="0.3">
      <c r="A7" s="18">
        <v>4</v>
      </c>
      <c r="B7" s="19"/>
      <c r="C7" s="19"/>
      <c r="D7" s="19"/>
      <c r="E7" s="19"/>
      <c r="F7" s="19"/>
      <c r="G7" s="20"/>
      <c r="H7" s="20"/>
      <c r="I7" s="21" t="str">
        <f t="shared" si="0"/>
        <v/>
      </c>
      <c r="J7" s="20"/>
      <c r="K7" s="20"/>
      <c r="L7" s="20"/>
      <c r="M7" s="20"/>
      <c r="N7" s="20"/>
      <c r="O7" s="20"/>
      <c r="P7" s="20"/>
      <c r="Q7" s="20"/>
      <c r="R7" s="20"/>
      <c r="S7" s="21" t="str">
        <f t="shared" si="1"/>
        <v/>
      </c>
      <c r="T7" s="20"/>
      <c r="U7" s="20"/>
      <c r="V7" s="20"/>
      <c r="W7" s="20"/>
      <c r="X7" s="20"/>
      <c r="Y7" s="21" t="str">
        <f t="shared" si="2"/>
        <v/>
      </c>
      <c r="Z7" s="22"/>
      <c r="AA7" s="22"/>
      <c r="AB7" s="23">
        <f t="shared" si="3"/>
        <v>0</v>
      </c>
      <c r="AC7" s="19"/>
      <c r="AD7" s="19"/>
      <c r="AE7" s="19"/>
    </row>
    <row r="8" spans="1:31" ht="15" customHeight="1" x14ac:dyDescent="0.3">
      <c r="A8" s="18">
        <v>5</v>
      </c>
      <c r="B8" s="19"/>
      <c r="C8" s="19"/>
      <c r="D8" s="19"/>
      <c r="E8" s="19"/>
      <c r="F8" s="19"/>
      <c r="G8" s="20"/>
      <c r="H8" s="20"/>
      <c r="I8" s="21" t="str">
        <f t="shared" si="0"/>
        <v/>
      </c>
      <c r="J8" s="20"/>
      <c r="K8" s="20"/>
      <c r="L8" s="20"/>
      <c r="M8" s="20"/>
      <c r="N8" s="20"/>
      <c r="O8" s="20"/>
      <c r="P8" s="20"/>
      <c r="Q8" s="20"/>
      <c r="R8" s="20"/>
      <c r="S8" s="21" t="str">
        <f t="shared" si="1"/>
        <v/>
      </c>
      <c r="T8" s="20"/>
      <c r="U8" s="20"/>
      <c r="V8" s="20"/>
      <c r="W8" s="20"/>
      <c r="X8" s="20"/>
      <c r="Y8" s="21" t="str">
        <f t="shared" si="2"/>
        <v/>
      </c>
      <c r="Z8" s="22"/>
      <c r="AA8" s="22"/>
      <c r="AB8" s="23">
        <f t="shared" si="3"/>
        <v>0</v>
      </c>
      <c r="AC8" s="19"/>
      <c r="AD8" s="19"/>
      <c r="AE8" s="19"/>
    </row>
    <row r="9" spans="1:31" ht="15" customHeight="1" x14ac:dyDescent="0.3">
      <c r="A9" s="18">
        <v>6</v>
      </c>
      <c r="B9" s="19"/>
      <c r="C9" s="19"/>
      <c r="D9" s="19"/>
      <c r="E9" s="19"/>
      <c r="F9" s="19"/>
      <c r="G9" s="20"/>
      <c r="H9" s="20"/>
      <c r="I9" s="21" t="str">
        <f t="shared" si="0"/>
        <v/>
      </c>
      <c r="J9" s="20"/>
      <c r="K9" s="20"/>
      <c r="L9" s="20"/>
      <c r="M9" s="20"/>
      <c r="N9" s="20"/>
      <c r="O9" s="20"/>
      <c r="P9" s="20"/>
      <c r="Q9" s="20"/>
      <c r="R9" s="20"/>
      <c r="S9" s="21" t="str">
        <f t="shared" si="1"/>
        <v/>
      </c>
      <c r="T9" s="20"/>
      <c r="U9" s="20"/>
      <c r="V9" s="20"/>
      <c r="W9" s="20"/>
      <c r="X9" s="20"/>
      <c r="Y9" s="21" t="str">
        <f t="shared" si="2"/>
        <v/>
      </c>
      <c r="Z9" s="22"/>
      <c r="AA9" s="22"/>
      <c r="AB9" s="23">
        <f t="shared" si="3"/>
        <v>0</v>
      </c>
      <c r="AC9" s="19"/>
      <c r="AD9" s="19"/>
      <c r="AE9" s="19"/>
    </row>
    <row r="10" spans="1:31" ht="15" customHeight="1" x14ac:dyDescent="0.3">
      <c r="A10" s="18">
        <v>7</v>
      </c>
      <c r="B10" s="19"/>
      <c r="C10" s="19"/>
      <c r="D10" s="19"/>
      <c r="E10" s="19"/>
      <c r="F10" s="19"/>
      <c r="G10" s="20"/>
      <c r="H10" s="20"/>
      <c r="I10" s="21" t="str">
        <f t="shared" si="0"/>
        <v/>
      </c>
      <c r="J10" s="20"/>
      <c r="K10" s="20"/>
      <c r="L10" s="20"/>
      <c r="M10" s="20"/>
      <c r="N10" s="20"/>
      <c r="O10" s="20"/>
      <c r="P10" s="20"/>
      <c r="Q10" s="20"/>
      <c r="R10" s="20"/>
      <c r="S10" s="21" t="str">
        <f t="shared" si="1"/>
        <v/>
      </c>
      <c r="T10" s="20"/>
      <c r="U10" s="20"/>
      <c r="V10" s="20"/>
      <c r="W10" s="20"/>
      <c r="X10" s="20"/>
      <c r="Y10" s="21" t="str">
        <f t="shared" si="2"/>
        <v/>
      </c>
      <c r="Z10" s="22"/>
      <c r="AA10" s="22"/>
      <c r="AB10" s="23">
        <f t="shared" si="3"/>
        <v>0</v>
      </c>
      <c r="AC10" s="19"/>
      <c r="AD10" s="19"/>
      <c r="AE10" s="19"/>
    </row>
    <row r="11" spans="1:31" ht="15" customHeight="1" x14ac:dyDescent="0.3">
      <c r="A11" s="18">
        <v>8</v>
      </c>
      <c r="B11" s="19"/>
      <c r="C11" s="19"/>
      <c r="D11" s="19"/>
      <c r="E11" s="19"/>
      <c r="F11" s="19"/>
      <c r="G11" s="20"/>
      <c r="H11" s="20"/>
      <c r="I11" s="21" t="str">
        <f t="shared" si="0"/>
        <v/>
      </c>
      <c r="J11" s="20"/>
      <c r="K11" s="20"/>
      <c r="L11" s="20"/>
      <c r="M11" s="20"/>
      <c r="N11" s="20"/>
      <c r="O11" s="20"/>
      <c r="P11" s="20"/>
      <c r="Q11" s="20"/>
      <c r="R11" s="20"/>
      <c r="S11" s="21" t="str">
        <f t="shared" si="1"/>
        <v/>
      </c>
      <c r="T11" s="20"/>
      <c r="U11" s="20"/>
      <c r="V11" s="20"/>
      <c r="W11" s="20"/>
      <c r="X11" s="20"/>
      <c r="Y11" s="21" t="str">
        <f t="shared" si="2"/>
        <v/>
      </c>
      <c r="Z11" s="22"/>
      <c r="AA11" s="22"/>
      <c r="AB11" s="23">
        <f t="shared" si="3"/>
        <v>0</v>
      </c>
      <c r="AC11" s="19"/>
      <c r="AD11" s="19"/>
      <c r="AE11" s="19"/>
    </row>
    <row r="12" spans="1:31" ht="15" customHeight="1" x14ac:dyDescent="0.3">
      <c r="A12" s="18">
        <v>9</v>
      </c>
      <c r="B12" s="19"/>
      <c r="C12" s="19"/>
      <c r="D12" s="19"/>
      <c r="E12" s="19"/>
      <c r="F12" s="19"/>
      <c r="G12" s="20"/>
      <c r="H12" s="20"/>
      <c r="I12" s="21" t="str">
        <f t="shared" si="0"/>
        <v/>
      </c>
      <c r="J12" s="20"/>
      <c r="K12" s="20"/>
      <c r="L12" s="20"/>
      <c r="M12" s="20"/>
      <c r="N12" s="20"/>
      <c r="O12" s="20"/>
      <c r="P12" s="20"/>
      <c r="Q12" s="20"/>
      <c r="R12" s="20"/>
      <c r="S12" s="21" t="str">
        <f t="shared" si="1"/>
        <v/>
      </c>
      <c r="T12" s="20"/>
      <c r="U12" s="20"/>
      <c r="V12" s="20"/>
      <c r="W12" s="20"/>
      <c r="X12" s="20"/>
      <c r="Y12" s="21" t="str">
        <f t="shared" si="2"/>
        <v/>
      </c>
      <c r="Z12" s="22"/>
      <c r="AA12" s="22"/>
      <c r="AB12" s="23">
        <f t="shared" si="3"/>
        <v>0</v>
      </c>
      <c r="AC12" s="19"/>
      <c r="AD12" s="19"/>
      <c r="AE12" s="19"/>
    </row>
    <row r="13" spans="1:31" ht="15" customHeight="1" x14ac:dyDescent="0.3">
      <c r="A13" s="18">
        <v>10</v>
      </c>
      <c r="B13" s="19"/>
      <c r="C13" s="19"/>
      <c r="D13" s="19"/>
      <c r="E13" s="19"/>
      <c r="F13" s="19"/>
      <c r="G13" s="20"/>
      <c r="H13" s="20"/>
      <c r="I13" s="21" t="str">
        <f t="shared" si="0"/>
        <v/>
      </c>
      <c r="J13" s="20"/>
      <c r="K13" s="20"/>
      <c r="L13" s="20"/>
      <c r="M13" s="20"/>
      <c r="N13" s="20"/>
      <c r="O13" s="20"/>
      <c r="P13" s="20"/>
      <c r="Q13" s="20"/>
      <c r="R13" s="20"/>
      <c r="S13" s="21" t="str">
        <f t="shared" si="1"/>
        <v/>
      </c>
      <c r="T13" s="20"/>
      <c r="U13" s="20"/>
      <c r="V13" s="20"/>
      <c r="W13" s="20"/>
      <c r="X13" s="20"/>
      <c r="Y13" s="21" t="str">
        <f t="shared" si="2"/>
        <v/>
      </c>
      <c r="Z13" s="22"/>
      <c r="AA13" s="22"/>
      <c r="AB13" s="23">
        <f t="shared" si="3"/>
        <v>0</v>
      </c>
      <c r="AC13" s="19"/>
      <c r="AD13" s="19"/>
      <c r="AE13" s="19"/>
    </row>
    <row r="14" spans="1:31" ht="15" customHeight="1" x14ac:dyDescent="0.3">
      <c r="A14" s="18">
        <v>11</v>
      </c>
      <c r="B14" s="19"/>
      <c r="C14" s="19"/>
      <c r="D14" s="19"/>
      <c r="E14" s="19"/>
      <c r="F14" s="19"/>
      <c r="G14" s="20"/>
      <c r="H14" s="20"/>
      <c r="I14" s="21" t="str">
        <f t="shared" si="0"/>
        <v/>
      </c>
      <c r="J14" s="20"/>
      <c r="K14" s="20"/>
      <c r="L14" s="20"/>
      <c r="M14" s="20"/>
      <c r="N14" s="20"/>
      <c r="O14" s="20"/>
      <c r="P14" s="20"/>
      <c r="Q14" s="20"/>
      <c r="R14" s="20"/>
      <c r="S14" s="21" t="str">
        <f t="shared" si="1"/>
        <v/>
      </c>
      <c r="T14" s="20"/>
      <c r="U14" s="20"/>
      <c r="V14" s="20"/>
      <c r="W14" s="20"/>
      <c r="X14" s="20"/>
      <c r="Y14" s="21" t="str">
        <f t="shared" si="2"/>
        <v/>
      </c>
      <c r="Z14" s="22"/>
      <c r="AA14" s="22"/>
      <c r="AB14" s="23">
        <f t="shared" si="3"/>
        <v>0</v>
      </c>
      <c r="AC14" s="19"/>
      <c r="AD14" s="19"/>
      <c r="AE14" s="19"/>
    </row>
    <row r="15" spans="1:31" ht="15" customHeight="1" x14ac:dyDescent="0.3">
      <c r="A15" s="18">
        <v>12</v>
      </c>
      <c r="B15" s="19"/>
      <c r="C15" s="19"/>
      <c r="D15" s="19"/>
      <c r="E15" s="19"/>
      <c r="F15" s="19"/>
      <c r="G15" s="20"/>
      <c r="H15" s="20"/>
      <c r="I15" s="21" t="str">
        <f t="shared" si="0"/>
        <v/>
      </c>
      <c r="J15" s="20"/>
      <c r="K15" s="20"/>
      <c r="L15" s="20"/>
      <c r="M15" s="20"/>
      <c r="N15" s="20"/>
      <c r="O15" s="20"/>
      <c r="P15" s="20"/>
      <c r="Q15" s="20"/>
      <c r="R15" s="20"/>
      <c r="S15" s="21" t="str">
        <f t="shared" si="1"/>
        <v/>
      </c>
      <c r="T15" s="20"/>
      <c r="U15" s="20"/>
      <c r="V15" s="20"/>
      <c r="W15" s="20"/>
      <c r="X15" s="20"/>
      <c r="Y15" s="21" t="str">
        <f t="shared" si="2"/>
        <v/>
      </c>
      <c r="Z15" s="22"/>
      <c r="AA15" s="22"/>
      <c r="AB15" s="23">
        <f t="shared" si="3"/>
        <v>0</v>
      </c>
      <c r="AC15" s="19"/>
      <c r="AD15" s="19"/>
      <c r="AE15" s="19"/>
    </row>
    <row r="16" spans="1:31" ht="15" customHeight="1" x14ac:dyDescent="0.3">
      <c r="A16" s="18">
        <v>13</v>
      </c>
      <c r="B16" s="19"/>
      <c r="C16" s="19"/>
      <c r="D16" s="19"/>
      <c r="E16" s="19"/>
      <c r="F16" s="19"/>
      <c r="G16" s="20"/>
      <c r="H16" s="20"/>
      <c r="I16" s="21" t="str">
        <f t="shared" si="0"/>
        <v/>
      </c>
      <c r="J16" s="20"/>
      <c r="K16" s="20"/>
      <c r="L16" s="20"/>
      <c r="M16" s="20"/>
      <c r="N16" s="20"/>
      <c r="O16" s="20"/>
      <c r="P16" s="20"/>
      <c r="Q16" s="20"/>
      <c r="R16" s="20"/>
      <c r="S16" s="21" t="str">
        <f t="shared" si="1"/>
        <v/>
      </c>
      <c r="T16" s="20"/>
      <c r="U16" s="20"/>
      <c r="V16" s="20"/>
      <c r="W16" s="20"/>
      <c r="X16" s="20"/>
      <c r="Y16" s="21" t="str">
        <f t="shared" si="2"/>
        <v/>
      </c>
      <c r="Z16" s="22"/>
      <c r="AA16" s="22"/>
      <c r="AB16" s="23">
        <f t="shared" si="3"/>
        <v>0</v>
      </c>
      <c r="AC16" s="19"/>
      <c r="AD16" s="19"/>
      <c r="AE16" s="19"/>
    </row>
    <row r="17" spans="1:31" ht="15" customHeight="1" x14ac:dyDescent="0.3">
      <c r="A17" s="18">
        <v>14</v>
      </c>
      <c r="B17" s="19"/>
      <c r="C17" s="19"/>
      <c r="D17" s="19"/>
      <c r="E17" s="19"/>
      <c r="F17" s="19"/>
      <c r="G17" s="20"/>
      <c r="H17" s="20"/>
      <c r="I17" s="21" t="str">
        <f t="shared" si="0"/>
        <v/>
      </c>
      <c r="J17" s="20"/>
      <c r="K17" s="20"/>
      <c r="L17" s="20"/>
      <c r="M17" s="20"/>
      <c r="N17" s="20"/>
      <c r="O17" s="20"/>
      <c r="P17" s="20"/>
      <c r="Q17" s="20"/>
      <c r="R17" s="20"/>
      <c r="S17" s="21" t="str">
        <f t="shared" si="1"/>
        <v/>
      </c>
      <c r="T17" s="20"/>
      <c r="U17" s="20"/>
      <c r="V17" s="20"/>
      <c r="W17" s="20"/>
      <c r="X17" s="20"/>
      <c r="Y17" s="21" t="str">
        <f t="shared" si="2"/>
        <v/>
      </c>
      <c r="Z17" s="22"/>
      <c r="AA17" s="22"/>
      <c r="AB17" s="23">
        <f t="shared" si="3"/>
        <v>0</v>
      </c>
      <c r="AC17" s="19"/>
      <c r="AD17" s="19"/>
      <c r="AE17" s="19"/>
    </row>
    <row r="18" spans="1:31" ht="15" customHeight="1" x14ac:dyDescent="0.3">
      <c r="A18" s="18">
        <v>15</v>
      </c>
      <c r="B18" s="19"/>
      <c r="C18" s="19"/>
      <c r="D18" s="19"/>
      <c r="E18" s="19"/>
      <c r="F18" s="19"/>
      <c r="G18" s="20"/>
      <c r="H18" s="20"/>
      <c r="I18" s="21" t="str">
        <f t="shared" si="0"/>
        <v/>
      </c>
      <c r="J18" s="20"/>
      <c r="K18" s="20"/>
      <c r="L18" s="20"/>
      <c r="M18" s="20"/>
      <c r="N18" s="20"/>
      <c r="O18" s="20"/>
      <c r="P18" s="20"/>
      <c r="Q18" s="20"/>
      <c r="R18" s="20"/>
      <c r="S18" s="21" t="str">
        <f t="shared" si="1"/>
        <v/>
      </c>
      <c r="T18" s="20"/>
      <c r="U18" s="20"/>
      <c r="V18" s="20"/>
      <c r="W18" s="20"/>
      <c r="X18" s="20"/>
      <c r="Y18" s="21" t="str">
        <f t="shared" si="2"/>
        <v/>
      </c>
      <c r="Z18" s="22"/>
      <c r="AA18" s="22"/>
      <c r="AB18" s="23">
        <f t="shared" si="3"/>
        <v>0</v>
      </c>
      <c r="AC18" s="19"/>
      <c r="AD18" s="19"/>
      <c r="AE18" s="19"/>
    </row>
    <row r="19" spans="1:31" ht="15" customHeight="1" x14ac:dyDescent="0.3">
      <c r="A19" s="18">
        <v>16</v>
      </c>
      <c r="B19" s="19"/>
      <c r="C19" s="19"/>
      <c r="D19" s="19"/>
      <c r="E19" s="19"/>
      <c r="F19" s="19"/>
      <c r="G19" s="20"/>
      <c r="H19" s="20"/>
      <c r="I19" s="21" t="str">
        <f t="shared" si="0"/>
        <v/>
      </c>
      <c r="J19" s="20"/>
      <c r="K19" s="20"/>
      <c r="L19" s="20"/>
      <c r="M19" s="20"/>
      <c r="N19" s="20"/>
      <c r="O19" s="20"/>
      <c r="P19" s="20"/>
      <c r="Q19" s="20"/>
      <c r="R19" s="20"/>
      <c r="S19" s="21" t="str">
        <f t="shared" si="1"/>
        <v/>
      </c>
      <c r="T19" s="20"/>
      <c r="U19" s="20"/>
      <c r="V19" s="20"/>
      <c r="W19" s="20"/>
      <c r="X19" s="20"/>
      <c r="Y19" s="21" t="str">
        <f t="shared" si="2"/>
        <v/>
      </c>
      <c r="Z19" s="22"/>
      <c r="AA19" s="22"/>
      <c r="AB19" s="23">
        <f t="shared" si="3"/>
        <v>0</v>
      </c>
      <c r="AC19" s="19"/>
      <c r="AD19" s="19"/>
      <c r="AE19" s="19"/>
    </row>
    <row r="20" spans="1:31" ht="15" customHeight="1" x14ac:dyDescent="0.3">
      <c r="A20" s="18">
        <v>17</v>
      </c>
      <c r="B20" s="19"/>
      <c r="C20" s="19"/>
      <c r="D20" s="19"/>
      <c r="E20" s="19"/>
      <c r="F20" s="19"/>
      <c r="G20" s="20"/>
      <c r="H20" s="20"/>
      <c r="I20" s="21" t="str">
        <f t="shared" si="0"/>
        <v/>
      </c>
      <c r="J20" s="20"/>
      <c r="K20" s="20"/>
      <c r="L20" s="20"/>
      <c r="M20" s="20"/>
      <c r="N20" s="20"/>
      <c r="O20" s="20"/>
      <c r="P20" s="20"/>
      <c r="Q20" s="20"/>
      <c r="R20" s="20"/>
      <c r="S20" s="21" t="str">
        <f t="shared" si="1"/>
        <v/>
      </c>
      <c r="T20" s="20"/>
      <c r="U20" s="20"/>
      <c r="V20" s="20"/>
      <c r="W20" s="20"/>
      <c r="X20" s="20"/>
      <c r="Y20" s="21" t="str">
        <f t="shared" si="2"/>
        <v/>
      </c>
      <c r="Z20" s="22"/>
      <c r="AA20" s="22"/>
      <c r="AB20" s="23">
        <f t="shared" si="3"/>
        <v>0</v>
      </c>
      <c r="AC20" s="19"/>
      <c r="AD20" s="19"/>
      <c r="AE20" s="19"/>
    </row>
    <row r="21" spans="1:31" ht="15" customHeight="1" x14ac:dyDescent="0.3">
      <c r="A21" s="18">
        <v>18</v>
      </c>
      <c r="B21" s="19"/>
      <c r="C21" s="19"/>
      <c r="D21" s="19"/>
      <c r="E21" s="19"/>
      <c r="F21" s="19"/>
      <c r="G21" s="20"/>
      <c r="H21" s="20"/>
      <c r="I21" s="21" t="str">
        <f t="shared" si="0"/>
        <v/>
      </c>
      <c r="J21" s="20"/>
      <c r="K21" s="20"/>
      <c r="L21" s="20"/>
      <c r="M21" s="20"/>
      <c r="N21" s="20"/>
      <c r="O21" s="20"/>
      <c r="P21" s="20"/>
      <c r="Q21" s="20"/>
      <c r="R21" s="20"/>
      <c r="S21" s="21" t="str">
        <f t="shared" si="1"/>
        <v/>
      </c>
      <c r="T21" s="20"/>
      <c r="U21" s="20"/>
      <c r="V21" s="20"/>
      <c r="W21" s="20"/>
      <c r="X21" s="20"/>
      <c r="Y21" s="21" t="str">
        <f t="shared" si="2"/>
        <v/>
      </c>
      <c r="Z21" s="22"/>
      <c r="AA21" s="22"/>
      <c r="AB21" s="23">
        <f t="shared" si="3"/>
        <v>0</v>
      </c>
      <c r="AC21" s="19"/>
      <c r="AD21" s="19"/>
      <c r="AE21" s="19"/>
    </row>
    <row r="22" spans="1:31" ht="15" customHeight="1" x14ac:dyDescent="0.3">
      <c r="A22" s="18">
        <v>19</v>
      </c>
      <c r="B22" s="19"/>
      <c r="C22" s="19"/>
      <c r="D22" s="19"/>
      <c r="E22" s="19"/>
      <c r="F22" s="19"/>
      <c r="G22" s="20"/>
      <c r="H22" s="20"/>
      <c r="I22" s="21" t="str">
        <f t="shared" si="0"/>
        <v/>
      </c>
      <c r="J22" s="20"/>
      <c r="K22" s="20"/>
      <c r="L22" s="20"/>
      <c r="M22" s="20"/>
      <c r="N22" s="20"/>
      <c r="O22" s="20"/>
      <c r="P22" s="20"/>
      <c r="Q22" s="20"/>
      <c r="R22" s="20"/>
      <c r="S22" s="21" t="str">
        <f t="shared" si="1"/>
        <v/>
      </c>
      <c r="T22" s="20"/>
      <c r="U22" s="20"/>
      <c r="V22" s="20"/>
      <c r="W22" s="20"/>
      <c r="X22" s="20"/>
      <c r="Y22" s="21" t="str">
        <f t="shared" si="2"/>
        <v/>
      </c>
      <c r="Z22" s="22"/>
      <c r="AA22" s="22"/>
      <c r="AB22" s="23">
        <f t="shared" si="3"/>
        <v>0</v>
      </c>
      <c r="AC22" s="19"/>
      <c r="AD22" s="19"/>
      <c r="AE22" s="19"/>
    </row>
    <row r="23" spans="1:31" ht="15" customHeight="1" x14ac:dyDescent="0.3">
      <c r="A23" s="18">
        <v>20</v>
      </c>
      <c r="B23" s="19"/>
      <c r="C23" s="19"/>
      <c r="D23" s="19"/>
      <c r="E23" s="19"/>
      <c r="F23" s="19"/>
      <c r="G23" s="20"/>
      <c r="H23" s="20"/>
      <c r="I23" s="21" t="str">
        <f t="shared" si="0"/>
        <v/>
      </c>
      <c r="J23" s="20"/>
      <c r="K23" s="20"/>
      <c r="L23" s="20"/>
      <c r="M23" s="20"/>
      <c r="N23" s="20"/>
      <c r="O23" s="20"/>
      <c r="P23" s="20"/>
      <c r="Q23" s="20"/>
      <c r="R23" s="20"/>
      <c r="S23" s="21" t="str">
        <f t="shared" si="1"/>
        <v/>
      </c>
      <c r="T23" s="20"/>
      <c r="U23" s="20"/>
      <c r="V23" s="20"/>
      <c r="W23" s="20"/>
      <c r="X23" s="20"/>
      <c r="Y23" s="21" t="str">
        <f t="shared" si="2"/>
        <v/>
      </c>
      <c r="Z23" s="22"/>
      <c r="AA23" s="22"/>
      <c r="AB23" s="23">
        <f t="shared" si="3"/>
        <v>0</v>
      </c>
      <c r="AC23" s="19"/>
      <c r="AD23" s="19"/>
      <c r="AE23" s="19"/>
    </row>
    <row r="24" spans="1:31" ht="15" customHeight="1" x14ac:dyDescent="0.3">
      <c r="A24" s="18">
        <v>21</v>
      </c>
      <c r="B24" s="19"/>
      <c r="C24" s="19"/>
      <c r="D24" s="19"/>
      <c r="E24" s="19"/>
      <c r="F24" s="19"/>
      <c r="G24" s="20"/>
      <c r="H24" s="20"/>
      <c r="I24" s="21" t="str">
        <f t="shared" si="0"/>
        <v/>
      </c>
      <c r="J24" s="20"/>
      <c r="K24" s="20"/>
      <c r="L24" s="20"/>
      <c r="M24" s="20"/>
      <c r="N24" s="20"/>
      <c r="O24" s="20"/>
      <c r="P24" s="20"/>
      <c r="Q24" s="20"/>
      <c r="R24" s="20"/>
      <c r="S24" s="21" t="str">
        <f t="shared" si="1"/>
        <v/>
      </c>
      <c r="T24" s="20"/>
      <c r="U24" s="20"/>
      <c r="V24" s="20"/>
      <c r="W24" s="20"/>
      <c r="X24" s="20"/>
      <c r="Y24" s="21" t="str">
        <f t="shared" si="2"/>
        <v/>
      </c>
      <c r="Z24" s="22"/>
      <c r="AA24" s="22"/>
      <c r="AB24" s="23">
        <f t="shared" si="3"/>
        <v>0</v>
      </c>
      <c r="AC24" s="19"/>
      <c r="AD24" s="19"/>
      <c r="AE24" s="19"/>
    </row>
    <row r="25" spans="1:31" ht="15" customHeight="1" x14ac:dyDescent="0.3">
      <c r="A25" s="18">
        <v>22</v>
      </c>
      <c r="B25" s="19"/>
      <c r="C25" s="19"/>
      <c r="D25" s="19"/>
      <c r="E25" s="19"/>
      <c r="F25" s="19"/>
      <c r="G25" s="20"/>
      <c r="H25" s="20"/>
      <c r="I25" s="21" t="str">
        <f t="shared" si="0"/>
        <v/>
      </c>
      <c r="J25" s="20"/>
      <c r="K25" s="20"/>
      <c r="L25" s="20"/>
      <c r="M25" s="20"/>
      <c r="N25" s="20"/>
      <c r="O25" s="20"/>
      <c r="P25" s="20"/>
      <c r="Q25" s="20"/>
      <c r="R25" s="20"/>
      <c r="S25" s="21" t="str">
        <f t="shared" si="1"/>
        <v/>
      </c>
      <c r="T25" s="20"/>
      <c r="U25" s="20"/>
      <c r="V25" s="20"/>
      <c r="W25" s="20"/>
      <c r="X25" s="20"/>
      <c r="Y25" s="21" t="str">
        <f t="shared" si="2"/>
        <v/>
      </c>
      <c r="Z25" s="22"/>
      <c r="AA25" s="22"/>
      <c r="AB25" s="23">
        <f t="shared" si="3"/>
        <v>0</v>
      </c>
      <c r="AC25" s="19"/>
      <c r="AD25" s="19"/>
      <c r="AE25" s="19"/>
    </row>
    <row r="26" spans="1:31" ht="15" customHeight="1" x14ac:dyDescent="0.3">
      <c r="A26" s="18">
        <v>23</v>
      </c>
      <c r="B26" s="19"/>
      <c r="C26" s="19"/>
      <c r="D26" s="19"/>
      <c r="E26" s="19"/>
      <c r="F26" s="19"/>
      <c r="G26" s="20"/>
      <c r="H26" s="20"/>
      <c r="I26" s="21" t="str">
        <f t="shared" si="0"/>
        <v/>
      </c>
      <c r="J26" s="20"/>
      <c r="K26" s="20"/>
      <c r="L26" s="20"/>
      <c r="M26" s="20"/>
      <c r="N26" s="20"/>
      <c r="O26" s="20"/>
      <c r="P26" s="20"/>
      <c r="Q26" s="20"/>
      <c r="R26" s="20"/>
      <c r="S26" s="21" t="str">
        <f t="shared" si="1"/>
        <v/>
      </c>
      <c r="T26" s="20"/>
      <c r="U26" s="20"/>
      <c r="V26" s="20"/>
      <c r="W26" s="20"/>
      <c r="X26" s="20"/>
      <c r="Y26" s="21" t="str">
        <f t="shared" si="2"/>
        <v/>
      </c>
      <c r="Z26" s="22"/>
      <c r="AA26" s="22"/>
      <c r="AB26" s="23">
        <f t="shared" si="3"/>
        <v>0</v>
      </c>
      <c r="AC26" s="19"/>
      <c r="AD26" s="19"/>
      <c r="AE26" s="19"/>
    </row>
    <row r="27" spans="1:31" ht="15" customHeight="1" x14ac:dyDescent="0.3">
      <c r="A27" s="18">
        <v>24</v>
      </c>
      <c r="B27" s="19"/>
      <c r="C27" s="19"/>
      <c r="D27" s="19"/>
      <c r="E27" s="19"/>
      <c r="F27" s="19"/>
      <c r="G27" s="20"/>
      <c r="H27" s="20"/>
      <c r="I27" s="21" t="str">
        <f t="shared" si="0"/>
        <v/>
      </c>
      <c r="J27" s="20"/>
      <c r="K27" s="20"/>
      <c r="L27" s="20"/>
      <c r="M27" s="20"/>
      <c r="N27" s="20"/>
      <c r="O27" s="20"/>
      <c r="P27" s="20"/>
      <c r="Q27" s="20"/>
      <c r="R27" s="20"/>
      <c r="S27" s="21" t="str">
        <f t="shared" si="1"/>
        <v/>
      </c>
      <c r="T27" s="20"/>
      <c r="U27" s="20"/>
      <c r="V27" s="20"/>
      <c r="W27" s="20"/>
      <c r="X27" s="20"/>
      <c r="Y27" s="21" t="str">
        <f t="shared" si="2"/>
        <v/>
      </c>
      <c r="Z27" s="22"/>
      <c r="AA27" s="22"/>
      <c r="AB27" s="23">
        <f t="shared" si="3"/>
        <v>0</v>
      </c>
      <c r="AC27" s="19"/>
      <c r="AD27" s="19"/>
      <c r="AE27" s="19"/>
    </row>
    <row r="28" spans="1:31" ht="15" customHeight="1" x14ac:dyDescent="0.3">
      <c r="A28" s="18">
        <v>25</v>
      </c>
      <c r="B28" s="19"/>
      <c r="C28" s="19"/>
      <c r="D28" s="19"/>
      <c r="E28" s="19"/>
      <c r="F28" s="19"/>
      <c r="G28" s="20"/>
      <c r="H28" s="20"/>
      <c r="I28" s="21" t="str">
        <f t="shared" si="0"/>
        <v/>
      </c>
      <c r="J28" s="20"/>
      <c r="K28" s="20"/>
      <c r="L28" s="20"/>
      <c r="M28" s="20"/>
      <c r="N28" s="20"/>
      <c r="O28" s="20"/>
      <c r="P28" s="20"/>
      <c r="Q28" s="20"/>
      <c r="R28" s="20"/>
      <c r="S28" s="21" t="str">
        <f t="shared" si="1"/>
        <v/>
      </c>
      <c r="T28" s="20"/>
      <c r="U28" s="20"/>
      <c r="V28" s="20"/>
      <c r="W28" s="20"/>
      <c r="X28" s="20"/>
      <c r="Y28" s="21" t="str">
        <f t="shared" si="2"/>
        <v/>
      </c>
      <c r="Z28" s="22"/>
      <c r="AA28" s="22"/>
      <c r="AB28" s="23">
        <f t="shared" si="3"/>
        <v>0</v>
      </c>
      <c r="AC28" s="19"/>
      <c r="AD28" s="19"/>
      <c r="AE28" s="19"/>
    </row>
    <row r="29" spans="1:31" ht="15" customHeight="1" x14ac:dyDescent="0.3">
      <c r="A29" s="18">
        <v>26</v>
      </c>
      <c r="B29" s="19"/>
      <c r="C29" s="19"/>
      <c r="D29" s="19"/>
      <c r="E29" s="19"/>
      <c r="F29" s="19"/>
      <c r="G29" s="20"/>
      <c r="H29" s="20"/>
      <c r="I29" s="21" t="str">
        <f t="shared" si="0"/>
        <v/>
      </c>
      <c r="J29" s="20"/>
      <c r="K29" s="20"/>
      <c r="L29" s="20"/>
      <c r="M29" s="20"/>
      <c r="N29" s="20"/>
      <c r="O29" s="20"/>
      <c r="P29" s="20"/>
      <c r="Q29" s="20"/>
      <c r="R29" s="20"/>
      <c r="S29" s="21" t="str">
        <f t="shared" si="1"/>
        <v/>
      </c>
      <c r="T29" s="20"/>
      <c r="U29" s="20"/>
      <c r="V29" s="20"/>
      <c r="W29" s="20"/>
      <c r="X29" s="20"/>
      <c r="Y29" s="21" t="str">
        <f t="shared" si="2"/>
        <v/>
      </c>
      <c r="Z29" s="22"/>
      <c r="AA29" s="22"/>
      <c r="AB29" s="23">
        <f t="shared" si="3"/>
        <v>0</v>
      </c>
      <c r="AC29" s="19"/>
      <c r="AD29" s="19"/>
      <c r="AE29" s="19"/>
    </row>
    <row r="30" spans="1:31" ht="15" customHeight="1" x14ac:dyDescent="0.3">
      <c r="A30" s="18">
        <v>27</v>
      </c>
      <c r="B30" s="19"/>
      <c r="C30" s="19"/>
      <c r="D30" s="19"/>
      <c r="E30" s="19"/>
      <c r="F30" s="19"/>
      <c r="G30" s="20"/>
      <c r="H30" s="20"/>
      <c r="I30" s="21" t="str">
        <f t="shared" si="0"/>
        <v/>
      </c>
      <c r="J30" s="20"/>
      <c r="K30" s="20"/>
      <c r="L30" s="20"/>
      <c r="M30" s="20"/>
      <c r="N30" s="20"/>
      <c r="O30" s="20"/>
      <c r="P30" s="20"/>
      <c r="Q30" s="20"/>
      <c r="R30" s="20"/>
      <c r="S30" s="21" t="str">
        <f t="shared" si="1"/>
        <v/>
      </c>
      <c r="T30" s="20"/>
      <c r="U30" s="20"/>
      <c r="V30" s="20"/>
      <c r="W30" s="20"/>
      <c r="X30" s="20"/>
      <c r="Y30" s="21" t="str">
        <f t="shared" si="2"/>
        <v/>
      </c>
      <c r="Z30" s="22"/>
      <c r="AA30" s="22"/>
      <c r="AB30" s="23">
        <f t="shared" si="3"/>
        <v>0</v>
      </c>
      <c r="AC30" s="19"/>
      <c r="AD30" s="19"/>
      <c r="AE30" s="19"/>
    </row>
    <row r="31" spans="1:31" ht="15" customHeight="1" x14ac:dyDescent="0.3">
      <c r="A31" s="18">
        <v>28</v>
      </c>
      <c r="B31" s="19"/>
      <c r="C31" s="19"/>
      <c r="D31" s="19"/>
      <c r="E31" s="19"/>
      <c r="F31" s="19"/>
      <c r="G31" s="20"/>
      <c r="H31" s="20"/>
      <c r="I31" s="21" t="str">
        <f t="shared" si="0"/>
        <v/>
      </c>
      <c r="J31" s="20"/>
      <c r="K31" s="20"/>
      <c r="L31" s="20"/>
      <c r="M31" s="20"/>
      <c r="N31" s="20"/>
      <c r="O31" s="20"/>
      <c r="P31" s="20"/>
      <c r="Q31" s="20"/>
      <c r="R31" s="20"/>
      <c r="S31" s="21" t="str">
        <f t="shared" si="1"/>
        <v/>
      </c>
      <c r="T31" s="20"/>
      <c r="U31" s="20"/>
      <c r="V31" s="20"/>
      <c r="W31" s="20"/>
      <c r="X31" s="20"/>
      <c r="Y31" s="21" t="str">
        <f t="shared" si="2"/>
        <v/>
      </c>
      <c r="Z31" s="22"/>
      <c r="AA31" s="22"/>
      <c r="AB31" s="23">
        <f t="shared" si="3"/>
        <v>0</v>
      </c>
      <c r="AC31" s="19"/>
      <c r="AD31" s="19"/>
      <c r="AE31" s="19"/>
    </row>
    <row r="32" spans="1:31" ht="15" customHeight="1" x14ac:dyDescent="0.3">
      <c r="A32" s="18">
        <v>29</v>
      </c>
      <c r="B32" s="19"/>
      <c r="C32" s="19"/>
      <c r="D32" s="19"/>
      <c r="E32" s="19"/>
      <c r="F32" s="19"/>
      <c r="G32" s="20"/>
      <c r="H32" s="20"/>
      <c r="I32" s="21" t="str">
        <f t="shared" si="0"/>
        <v/>
      </c>
      <c r="J32" s="20"/>
      <c r="K32" s="20"/>
      <c r="L32" s="20"/>
      <c r="M32" s="20"/>
      <c r="N32" s="20"/>
      <c r="O32" s="20"/>
      <c r="P32" s="20"/>
      <c r="Q32" s="20"/>
      <c r="R32" s="20"/>
      <c r="S32" s="21" t="str">
        <f t="shared" si="1"/>
        <v/>
      </c>
      <c r="T32" s="20"/>
      <c r="U32" s="20"/>
      <c r="V32" s="20"/>
      <c r="W32" s="20"/>
      <c r="X32" s="20"/>
      <c r="Y32" s="21" t="str">
        <f t="shared" si="2"/>
        <v/>
      </c>
      <c r="Z32" s="22"/>
      <c r="AA32" s="22"/>
      <c r="AB32" s="23">
        <f t="shared" si="3"/>
        <v>0</v>
      </c>
      <c r="AC32" s="19"/>
      <c r="AD32" s="19"/>
      <c r="AE32" s="19"/>
    </row>
    <row r="33" spans="1:31" ht="15" customHeight="1" x14ac:dyDescent="0.3">
      <c r="A33" s="18">
        <v>30</v>
      </c>
      <c r="B33" s="19"/>
      <c r="C33" s="19"/>
      <c r="D33" s="19"/>
      <c r="E33" s="19"/>
      <c r="F33" s="19"/>
      <c r="G33" s="20"/>
      <c r="H33" s="20"/>
      <c r="I33" s="21" t="str">
        <f t="shared" si="0"/>
        <v/>
      </c>
      <c r="J33" s="20"/>
      <c r="K33" s="20"/>
      <c r="L33" s="20"/>
      <c r="M33" s="20"/>
      <c r="N33" s="20"/>
      <c r="O33" s="20"/>
      <c r="P33" s="20"/>
      <c r="Q33" s="20"/>
      <c r="R33" s="20"/>
      <c r="S33" s="21" t="str">
        <f t="shared" si="1"/>
        <v/>
      </c>
      <c r="T33" s="20"/>
      <c r="U33" s="20"/>
      <c r="V33" s="20"/>
      <c r="W33" s="20"/>
      <c r="X33" s="20"/>
      <c r="Y33" s="21" t="str">
        <f t="shared" si="2"/>
        <v/>
      </c>
      <c r="Z33" s="22"/>
      <c r="AA33" s="22"/>
      <c r="AB33" s="23">
        <f t="shared" si="3"/>
        <v>0</v>
      </c>
      <c r="AC33" s="19"/>
      <c r="AD33" s="19"/>
      <c r="AE33" s="19"/>
    </row>
    <row r="34" spans="1:31" ht="15" customHeight="1" x14ac:dyDescent="0.3">
      <c r="A34" s="18">
        <v>31</v>
      </c>
      <c r="B34" s="19"/>
      <c r="C34" s="19"/>
      <c r="D34" s="19"/>
      <c r="E34" s="19"/>
      <c r="F34" s="19"/>
      <c r="G34" s="20"/>
      <c r="H34" s="20"/>
      <c r="I34" s="21" t="str">
        <f t="shared" si="0"/>
        <v/>
      </c>
      <c r="J34" s="20"/>
      <c r="K34" s="20"/>
      <c r="L34" s="20"/>
      <c r="M34" s="20"/>
      <c r="N34" s="20"/>
      <c r="O34" s="20"/>
      <c r="P34" s="20"/>
      <c r="Q34" s="20"/>
      <c r="R34" s="20"/>
      <c r="S34" s="21" t="str">
        <f t="shared" si="1"/>
        <v/>
      </c>
      <c r="T34" s="20"/>
      <c r="U34" s="20"/>
      <c r="V34" s="20"/>
      <c r="W34" s="20"/>
      <c r="X34" s="20"/>
      <c r="Y34" s="21" t="str">
        <f t="shared" si="2"/>
        <v/>
      </c>
      <c r="Z34" s="22"/>
      <c r="AA34" s="22"/>
      <c r="AB34" s="23">
        <f t="shared" si="3"/>
        <v>0</v>
      </c>
      <c r="AC34" s="19"/>
      <c r="AD34" s="19"/>
      <c r="AE34" s="19"/>
    </row>
    <row r="35" spans="1:31" ht="15" customHeight="1" x14ac:dyDescent="0.3">
      <c r="A35" s="18">
        <v>32</v>
      </c>
      <c r="B35" s="19"/>
      <c r="C35" s="19"/>
      <c r="D35" s="19"/>
      <c r="E35" s="19"/>
      <c r="F35" s="19"/>
      <c r="G35" s="20"/>
      <c r="H35" s="20"/>
      <c r="I35" s="21" t="str">
        <f t="shared" si="0"/>
        <v/>
      </c>
      <c r="J35" s="20"/>
      <c r="K35" s="20"/>
      <c r="L35" s="20"/>
      <c r="M35" s="20"/>
      <c r="N35" s="20"/>
      <c r="O35" s="20"/>
      <c r="P35" s="20"/>
      <c r="Q35" s="20"/>
      <c r="R35" s="20"/>
      <c r="S35" s="21" t="str">
        <f t="shared" si="1"/>
        <v/>
      </c>
      <c r="T35" s="20"/>
      <c r="U35" s="20"/>
      <c r="V35" s="20"/>
      <c r="W35" s="20"/>
      <c r="X35" s="20"/>
      <c r="Y35" s="21" t="str">
        <f t="shared" si="2"/>
        <v/>
      </c>
      <c r="Z35" s="22"/>
      <c r="AA35" s="22"/>
      <c r="AB35" s="23">
        <f t="shared" si="3"/>
        <v>0</v>
      </c>
      <c r="AC35" s="19"/>
      <c r="AD35" s="19"/>
      <c r="AE35" s="19"/>
    </row>
    <row r="36" spans="1:31" ht="15" customHeight="1" x14ac:dyDescent="0.3">
      <c r="A36" s="18">
        <v>33</v>
      </c>
      <c r="B36" s="19"/>
      <c r="C36" s="19"/>
      <c r="D36" s="19"/>
      <c r="E36" s="19"/>
      <c r="F36" s="19"/>
      <c r="G36" s="20"/>
      <c r="H36" s="20"/>
      <c r="I36" s="21" t="str">
        <f t="shared" ref="I36:I67" si="4">IFERROR(H36/G36,"")</f>
        <v/>
      </c>
      <c r="J36" s="20"/>
      <c r="K36" s="20"/>
      <c r="L36" s="20"/>
      <c r="M36" s="20"/>
      <c r="N36" s="20"/>
      <c r="O36" s="20"/>
      <c r="P36" s="20"/>
      <c r="Q36" s="20"/>
      <c r="R36" s="20"/>
      <c r="S36" s="21" t="str">
        <f t="shared" ref="S36:S67" si="5">IFERROR(R36/Q36,"")</f>
        <v/>
      </c>
      <c r="T36" s="20"/>
      <c r="U36" s="20"/>
      <c r="V36" s="20"/>
      <c r="W36" s="20"/>
      <c r="X36" s="20"/>
      <c r="Y36" s="21" t="str">
        <f t="shared" ref="Y36:Y67" si="6">IFERROR(X36/W36,"")</f>
        <v/>
      </c>
      <c r="Z36" s="22"/>
      <c r="AA36" s="22"/>
      <c r="AB36" s="23">
        <f t="shared" ref="AB36:AB67" si="7">IFERROR(AA36-Z36,"")</f>
        <v>0</v>
      </c>
      <c r="AC36" s="19"/>
      <c r="AD36" s="19"/>
      <c r="AE36" s="19"/>
    </row>
    <row r="37" spans="1:31" ht="15" customHeight="1" x14ac:dyDescent="0.3">
      <c r="A37" s="18">
        <v>34</v>
      </c>
      <c r="B37" s="19"/>
      <c r="C37" s="19"/>
      <c r="D37" s="19"/>
      <c r="E37" s="19"/>
      <c r="F37" s="19"/>
      <c r="G37" s="20"/>
      <c r="H37" s="20"/>
      <c r="I37" s="21" t="str">
        <f t="shared" si="4"/>
        <v/>
      </c>
      <c r="J37" s="20"/>
      <c r="K37" s="20"/>
      <c r="L37" s="20"/>
      <c r="M37" s="20"/>
      <c r="N37" s="20"/>
      <c r="O37" s="20"/>
      <c r="P37" s="20"/>
      <c r="Q37" s="20"/>
      <c r="R37" s="20"/>
      <c r="S37" s="21" t="str">
        <f t="shared" si="5"/>
        <v/>
      </c>
      <c r="T37" s="20"/>
      <c r="U37" s="20"/>
      <c r="V37" s="20"/>
      <c r="W37" s="20"/>
      <c r="X37" s="20"/>
      <c r="Y37" s="21" t="str">
        <f t="shared" si="6"/>
        <v/>
      </c>
      <c r="Z37" s="22"/>
      <c r="AA37" s="22"/>
      <c r="AB37" s="23">
        <f t="shared" si="7"/>
        <v>0</v>
      </c>
      <c r="AC37" s="19"/>
      <c r="AD37" s="19"/>
      <c r="AE37" s="19"/>
    </row>
    <row r="38" spans="1:31" ht="15" customHeight="1" x14ac:dyDescent="0.3">
      <c r="A38" s="18">
        <v>35</v>
      </c>
      <c r="B38" s="19"/>
      <c r="C38" s="19"/>
      <c r="D38" s="19"/>
      <c r="E38" s="19"/>
      <c r="F38" s="19"/>
      <c r="G38" s="20"/>
      <c r="H38" s="20"/>
      <c r="I38" s="21" t="str">
        <f t="shared" si="4"/>
        <v/>
      </c>
      <c r="J38" s="20"/>
      <c r="K38" s="20"/>
      <c r="L38" s="20"/>
      <c r="M38" s="20"/>
      <c r="N38" s="20"/>
      <c r="O38" s="20"/>
      <c r="P38" s="20"/>
      <c r="Q38" s="20"/>
      <c r="R38" s="20"/>
      <c r="S38" s="21" t="str">
        <f t="shared" si="5"/>
        <v/>
      </c>
      <c r="T38" s="20"/>
      <c r="U38" s="20"/>
      <c r="V38" s="20"/>
      <c r="W38" s="20"/>
      <c r="X38" s="20"/>
      <c r="Y38" s="21" t="str">
        <f t="shared" si="6"/>
        <v/>
      </c>
      <c r="Z38" s="22"/>
      <c r="AA38" s="22"/>
      <c r="AB38" s="23">
        <f t="shared" si="7"/>
        <v>0</v>
      </c>
      <c r="AC38" s="19"/>
      <c r="AD38" s="19"/>
      <c r="AE38" s="19"/>
    </row>
    <row r="39" spans="1:31" ht="15" customHeight="1" x14ac:dyDescent="0.3">
      <c r="A39" s="18">
        <v>36</v>
      </c>
      <c r="B39" s="19"/>
      <c r="C39" s="19"/>
      <c r="D39" s="19"/>
      <c r="E39" s="19"/>
      <c r="F39" s="19"/>
      <c r="G39" s="20"/>
      <c r="H39" s="20"/>
      <c r="I39" s="21" t="str">
        <f t="shared" si="4"/>
        <v/>
      </c>
      <c r="J39" s="20"/>
      <c r="K39" s="20"/>
      <c r="L39" s="20"/>
      <c r="M39" s="20"/>
      <c r="N39" s="20"/>
      <c r="O39" s="20"/>
      <c r="P39" s="20"/>
      <c r="Q39" s="20"/>
      <c r="R39" s="20"/>
      <c r="S39" s="21" t="str">
        <f t="shared" si="5"/>
        <v/>
      </c>
      <c r="T39" s="20"/>
      <c r="U39" s="20"/>
      <c r="V39" s="20"/>
      <c r="W39" s="20"/>
      <c r="X39" s="20"/>
      <c r="Y39" s="21" t="str">
        <f t="shared" si="6"/>
        <v/>
      </c>
      <c r="Z39" s="22"/>
      <c r="AA39" s="22"/>
      <c r="AB39" s="23">
        <f t="shared" si="7"/>
        <v>0</v>
      </c>
      <c r="AC39" s="19"/>
      <c r="AD39" s="19"/>
      <c r="AE39" s="19"/>
    </row>
    <row r="40" spans="1:31" ht="15" customHeight="1" x14ac:dyDescent="0.3">
      <c r="A40" s="18">
        <v>37</v>
      </c>
      <c r="B40" s="19"/>
      <c r="C40" s="19"/>
      <c r="D40" s="19"/>
      <c r="E40" s="19"/>
      <c r="F40" s="19"/>
      <c r="G40" s="20"/>
      <c r="H40" s="20"/>
      <c r="I40" s="21" t="str">
        <f t="shared" si="4"/>
        <v/>
      </c>
      <c r="J40" s="20"/>
      <c r="K40" s="20"/>
      <c r="L40" s="20"/>
      <c r="M40" s="20"/>
      <c r="N40" s="20"/>
      <c r="O40" s="20"/>
      <c r="P40" s="20"/>
      <c r="Q40" s="20"/>
      <c r="R40" s="20"/>
      <c r="S40" s="21" t="str">
        <f t="shared" si="5"/>
        <v/>
      </c>
      <c r="T40" s="20"/>
      <c r="U40" s="20"/>
      <c r="V40" s="20"/>
      <c r="W40" s="20"/>
      <c r="X40" s="20"/>
      <c r="Y40" s="21" t="str">
        <f t="shared" si="6"/>
        <v/>
      </c>
      <c r="Z40" s="22"/>
      <c r="AA40" s="22"/>
      <c r="AB40" s="23">
        <f t="shared" si="7"/>
        <v>0</v>
      </c>
      <c r="AC40" s="19"/>
      <c r="AD40" s="19"/>
      <c r="AE40" s="19"/>
    </row>
    <row r="41" spans="1:31" ht="15" customHeight="1" x14ac:dyDescent="0.3">
      <c r="A41" s="18">
        <v>38</v>
      </c>
      <c r="B41" s="19"/>
      <c r="C41" s="19"/>
      <c r="D41" s="19"/>
      <c r="E41" s="19"/>
      <c r="F41" s="19"/>
      <c r="G41" s="20"/>
      <c r="H41" s="20"/>
      <c r="I41" s="21" t="str">
        <f t="shared" si="4"/>
        <v/>
      </c>
      <c r="J41" s="20"/>
      <c r="K41" s="20"/>
      <c r="L41" s="20"/>
      <c r="M41" s="20"/>
      <c r="N41" s="20"/>
      <c r="O41" s="20"/>
      <c r="P41" s="20"/>
      <c r="Q41" s="20"/>
      <c r="R41" s="20"/>
      <c r="S41" s="21" t="str">
        <f t="shared" si="5"/>
        <v/>
      </c>
      <c r="T41" s="20"/>
      <c r="U41" s="20"/>
      <c r="V41" s="20"/>
      <c r="W41" s="20"/>
      <c r="X41" s="20"/>
      <c r="Y41" s="21" t="str">
        <f t="shared" si="6"/>
        <v/>
      </c>
      <c r="Z41" s="22"/>
      <c r="AA41" s="22"/>
      <c r="AB41" s="23">
        <f t="shared" si="7"/>
        <v>0</v>
      </c>
      <c r="AC41" s="19"/>
      <c r="AD41" s="19"/>
      <c r="AE41" s="19"/>
    </row>
    <row r="42" spans="1:31" ht="15" customHeight="1" x14ac:dyDescent="0.3">
      <c r="A42" s="18">
        <v>39</v>
      </c>
      <c r="B42" s="19"/>
      <c r="C42" s="19"/>
      <c r="D42" s="19"/>
      <c r="E42" s="19"/>
      <c r="F42" s="19"/>
      <c r="G42" s="20"/>
      <c r="H42" s="20"/>
      <c r="I42" s="21" t="str">
        <f t="shared" si="4"/>
        <v/>
      </c>
      <c r="J42" s="20"/>
      <c r="K42" s="20"/>
      <c r="L42" s="20"/>
      <c r="M42" s="20"/>
      <c r="N42" s="20"/>
      <c r="O42" s="20"/>
      <c r="P42" s="20"/>
      <c r="Q42" s="20"/>
      <c r="R42" s="20"/>
      <c r="S42" s="21" t="str">
        <f t="shared" si="5"/>
        <v/>
      </c>
      <c r="T42" s="20"/>
      <c r="U42" s="20"/>
      <c r="V42" s="20"/>
      <c r="W42" s="20"/>
      <c r="X42" s="20"/>
      <c r="Y42" s="21" t="str">
        <f t="shared" si="6"/>
        <v/>
      </c>
      <c r="Z42" s="22"/>
      <c r="AA42" s="22"/>
      <c r="AB42" s="23">
        <f t="shared" si="7"/>
        <v>0</v>
      </c>
      <c r="AC42" s="19"/>
      <c r="AD42" s="19"/>
      <c r="AE42" s="19"/>
    </row>
    <row r="43" spans="1:31" ht="15" customHeight="1" x14ac:dyDescent="0.3">
      <c r="A43" s="18">
        <v>40</v>
      </c>
      <c r="B43" s="19"/>
      <c r="C43" s="19"/>
      <c r="D43" s="19"/>
      <c r="E43" s="19"/>
      <c r="F43" s="19"/>
      <c r="G43" s="20"/>
      <c r="H43" s="20"/>
      <c r="I43" s="21" t="str">
        <f t="shared" si="4"/>
        <v/>
      </c>
      <c r="J43" s="20"/>
      <c r="K43" s="20"/>
      <c r="L43" s="20"/>
      <c r="M43" s="20"/>
      <c r="N43" s="20"/>
      <c r="O43" s="20"/>
      <c r="P43" s="20"/>
      <c r="Q43" s="20"/>
      <c r="R43" s="20"/>
      <c r="S43" s="21" t="str">
        <f t="shared" si="5"/>
        <v/>
      </c>
      <c r="T43" s="20"/>
      <c r="U43" s="20"/>
      <c r="V43" s="20"/>
      <c r="W43" s="20"/>
      <c r="X43" s="20"/>
      <c r="Y43" s="21" t="str">
        <f t="shared" si="6"/>
        <v/>
      </c>
      <c r="Z43" s="22"/>
      <c r="AA43" s="22"/>
      <c r="AB43" s="23">
        <f t="shared" si="7"/>
        <v>0</v>
      </c>
      <c r="AC43" s="19"/>
      <c r="AD43" s="19"/>
      <c r="AE43" s="19"/>
    </row>
    <row r="44" spans="1:31" ht="15" customHeight="1" x14ac:dyDescent="0.3">
      <c r="A44" s="18">
        <v>41</v>
      </c>
      <c r="B44" s="19"/>
      <c r="C44" s="19"/>
      <c r="D44" s="19"/>
      <c r="E44" s="19"/>
      <c r="F44" s="19"/>
      <c r="G44" s="20"/>
      <c r="H44" s="20"/>
      <c r="I44" s="21" t="str">
        <f t="shared" si="4"/>
        <v/>
      </c>
      <c r="J44" s="20"/>
      <c r="K44" s="20"/>
      <c r="L44" s="20"/>
      <c r="M44" s="20"/>
      <c r="N44" s="20"/>
      <c r="O44" s="20"/>
      <c r="P44" s="20"/>
      <c r="Q44" s="20"/>
      <c r="R44" s="20"/>
      <c r="S44" s="21" t="str">
        <f t="shared" si="5"/>
        <v/>
      </c>
      <c r="T44" s="20"/>
      <c r="U44" s="20"/>
      <c r="V44" s="20"/>
      <c r="W44" s="20"/>
      <c r="X44" s="20"/>
      <c r="Y44" s="21" t="str">
        <f t="shared" si="6"/>
        <v/>
      </c>
      <c r="Z44" s="22"/>
      <c r="AA44" s="22"/>
      <c r="AB44" s="23">
        <f t="shared" si="7"/>
        <v>0</v>
      </c>
      <c r="AC44" s="19"/>
      <c r="AD44" s="19"/>
      <c r="AE44" s="19"/>
    </row>
    <row r="45" spans="1:31" ht="15" customHeight="1" x14ac:dyDescent="0.3">
      <c r="A45" s="18">
        <v>42</v>
      </c>
      <c r="B45" s="19"/>
      <c r="C45" s="19"/>
      <c r="D45" s="19"/>
      <c r="E45" s="19"/>
      <c r="F45" s="19"/>
      <c r="G45" s="20"/>
      <c r="H45" s="20"/>
      <c r="I45" s="21" t="str">
        <f t="shared" si="4"/>
        <v/>
      </c>
      <c r="J45" s="20"/>
      <c r="K45" s="20"/>
      <c r="L45" s="20"/>
      <c r="M45" s="20"/>
      <c r="N45" s="20"/>
      <c r="O45" s="20"/>
      <c r="P45" s="20"/>
      <c r="Q45" s="20"/>
      <c r="R45" s="20"/>
      <c r="S45" s="21" t="str">
        <f t="shared" si="5"/>
        <v/>
      </c>
      <c r="T45" s="20"/>
      <c r="U45" s="20"/>
      <c r="V45" s="20"/>
      <c r="W45" s="20"/>
      <c r="X45" s="20"/>
      <c r="Y45" s="21" t="str">
        <f t="shared" si="6"/>
        <v/>
      </c>
      <c r="Z45" s="22"/>
      <c r="AA45" s="22"/>
      <c r="AB45" s="23">
        <f t="shared" si="7"/>
        <v>0</v>
      </c>
      <c r="AC45" s="19"/>
      <c r="AD45" s="19"/>
      <c r="AE45" s="19"/>
    </row>
    <row r="46" spans="1:31" ht="15" customHeight="1" x14ac:dyDescent="0.3">
      <c r="A46" s="18">
        <v>43</v>
      </c>
      <c r="B46" s="19"/>
      <c r="C46" s="19"/>
      <c r="D46" s="19"/>
      <c r="E46" s="19"/>
      <c r="F46" s="19"/>
      <c r="G46" s="20"/>
      <c r="H46" s="20"/>
      <c r="I46" s="21" t="str">
        <f t="shared" si="4"/>
        <v/>
      </c>
      <c r="J46" s="20"/>
      <c r="K46" s="20"/>
      <c r="L46" s="20"/>
      <c r="M46" s="20"/>
      <c r="N46" s="20"/>
      <c r="O46" s="20"/>
      <c r="P46" s="20"/>
      <c r="Q46" s="20"/>
      <c r="R46" s="20"/>
      <c r="S46" s="21" t="str">
        <f t="shared" si="5"/>
        <v/>
      </c>
      <c r="T46" s="20"/>
      <c r="U46" s="20"/>
      <c r="V46" s="20"/>
      <c r="W46" s="20"/>
      <c r="X46" s="20"/>
      <c r="Y46" s="21" t="str">
        <f t="shared" si="6"/>
        <v/>
      </c>
      <c r="Z46" s="22"/>
      <c r="AA46" s="22"/>
      <c r="AB46" s="23">
        <f t="shared" si="7"/>
        <v>0</v>
      </c>
      <c r="AC46" s="19"/>
      <c r="AD46" s="19"/>
      <c r="AE46" s="19"/>
    </row>
    <row r="47" spans="1:31" ht="15" customHeight="1" x14ac:dyDescent="0.3">
      <c r="A47" s="18">
        <v>44</v>
      </c>
      <c r="B47" s="19"/>
      <c r="C47" s="19"/>
      <c r="D47" s="19"/>
      <c r="E47" s="19"/>
      <c r="F47" s="19"/>
      <c r="G47" s="20"/>
      <c r="H47" s="20"/>
      <c r="I47" s="21" t="str">
        <f t="shared" si="4"/>
        <v/>
      </c>
      <c r="J47" s="20"/>
      <c r="K47" s="20"/>
      <c r="L47" s="20"/>
      <c r="M47" s="20"/>
      <c r="N47" s="20"/>
      <c r="O47" s="20"/>
      <c r="P47" s="20"/>
      <c r="Q47" s="20"/>
      <c r="R47" s="20"/>
      <c r="S47" s="21" t="str">
        <f t="shared" si="5"/>
        <v/>
      </c>
      <c r="T47" s="20"/>
      <c r="U47" s="20"/>
      <c r="V47" s="20"/>
      <c r="W47" s="20"/>
      <c r="X47" s="20"/>
      <c r="Y47" s="21" t="str">
        <f t="shared" si="6"/>
        <v/>
      </c>
      <c r="Z47" s="22"/>
      <c r="AA47" s="22"/>
      <c r="AB47" s="23">
        <f t="shared" si="7"/>
        <v>0</v>
      </c>
      <c r="AC47" s="19"/>
      <c r="AD47" s="19"/>
      <c r="AE47" s="19"/>
    </row>
    <row r="48" spans="1:31" ht="15" customHeight="1" x14ac:dyDescent="0.3">
      <c r="A48" s="18">
        <v>45</v>
      </c>
      <c r="B48" s="19"/>
      <c r="C48" s="19"/>
      <c r="D48" s="19"/>
      <c r="E48" s="19"/>
      <c r="F48" s="19"/>
      <c r="G48" s="20"/>
      <c r="H48" s="20"/>
      <c r="I48" s="21" t="str">
        <f t="shared" si="4"/>
        <v/>
      </c>
      <c r="J48" s="20"/>
      <c r="K48" s="20"/>
      <c r="L48" s="20"/>
      <c r="M48" s="20"/>
      <c r="N48" s="20"/>
      <c r="O48" s="20"/>
      <c r="P48" s="20"/>
      <c r="Q48" s="20"/>
      <c r="R48" s="20"/>
      <c r="S48" s="21" t="str">
        <f t="shared" si="5"/>
        <v/>
      </c>
      <c r="T48" s="20"/>
      <c r="U48" s="20"/>
      <c r="V48" s="20"/>
      <c r="W48" s="20"/>
      <c r="X48" s="20"/>
      <c r="Y48" s="21" t="str">
        <f t="shared" si="6"/>
        <v/>
      </c>
      <c r="Z48" s="22"/>
      <c r="AA48" s="22"/>
      <c r="AB48" s="23">
        <f t="shared" si="7"/>
        <v>0</v>
      </c>
      <c r="AC48" s="19"/>
      <c r="AD48" s="19"/>
      <c r="AE48" s="19"/>
    </row>
    <row r="49" spans="1:31" ht="15" customHeight="1" x14ac:dyDescent="0.3">
      <c r="A49" s="18">
        <v>46</v>
      </c>
      <c r="B49" s="19"/>
      <c r="C49" s="19"/>
      <c r="D49" s="19"/>
      <c r="E49" s="19"/>
      <c r="F49" s="19"/>
      <c r="G49" s="20"/>
      <c r="H49" s="20"/>
      <c r="I49" s="21" t="str">
        <f t="shared" si="4"/>
        <v/>
      </c>
      <c r="J49" s="20"/>
      <c r="K49" s="20"/>
      <c r="L49" s="20"/>
      <c r="M49" s="20"/>
      <c r="N49" s="20"/>
      <c r="O49" s="20"/>
      <c r="P49" s="20"/>
      <c r="Q49" s="20"/>
      <c r="R49" s="20"/>
      <c r="S49" s="21" t="str">
        <f t="shared" si="5"/>
        <v/>
      </c>
      <c r="T49" s="20"/>
      <c r="U49" s="20"/>
      <c r="V49" s="20"/>
      <c r="W49" s="20"/>
      <c r="X49" s="20"/>
      <c r="Y49" s="21" t="str">
        <f t="shared" si="6"/>
        <v/>
      </c>
      <c r="Z49" s="22"/>
      <c r="AA49" s="22"/>
      <c r="AB49" s="23">
        <f t="shared" si="7"/>
        <v>0</v>
      </c>
      <c r="AC49" s="19"/>
      <c r="AD49" s="19"/>
      <c r="AE49" s="19"/>
    </row>
    <row r="50" spans="1:31" ht="15" customHeight="1" x14ac:dyDescent="0.3">
      <c r="A50" s="18">
        <v>47</v>
      </c>
      <c r="B50" s="19"/>
      <c r="C50" s="19"/>
      <c r="D50" s="19"/>
      <c r="E50" s="19"/>
      <c r="F50" s="19"/>
      <c r="G50" s="20"/>
      <c r="H50" s="20"/>
      <c r="I50" s="21" t="str">
        <f t="shared" si="4"/>
        <v/>
      </c>
      <c r="J50" s="20"/>
      <c r="K50" s="20"/>
      <c r="L50" s="20"/>
      <c r="M50" s="20"/>
      <c r="N50" s="20"/>
      <c r="O50" s="20"/>
      <c r="P50" s="20"/>
      <c r="Q50" s="20"/>
      <c r="R50" s="20"/>
      <c r="S50" s="21" t="str">
        <f t="shared" si="5"/>
        <v/>
      </c>
      <c r="T50" s="20"/>
      <c r="U50" s="20"/>
      <c r="V50" s="20"/>
      <c r="W50" s="20"/>
      <c r="X50" s="20"/>
      <c r="Y50" s="21" t="str">
        <f t="shared" si="6"/>
        <v/>
      </c>
      <c r="Z50" s="22"/>
      <c r="AA50" s="22"/>
      <c r="AB50" s="23">
        <f t="shared" si="7"/>
        <v>0</v>
      </c>
      <c r="AC50" s="19"/>
      <c r="AD50" s="19"/>
      <c r="AE50" s="19"/>
    </row>
    <row r="51" spans="1:31" ht="15" customHeight="1" x14ac:dyDescent="0.3">
      <c r="A51" s="18">
        <v>48</v>
      </c>
      <c r="B51" s="19"/>
      <c r="C51" s="19"/>
      <c r="D51" s="19"/>
      <c r="E51" s="19"/>
      <c r="F51" s="19"/>
      <c r="G51" s="20"/>
      <c r="H51" s="20"/>
      <c r="I51" s="21" t="str">
        <f t="shared" si="4"/>
        <v/>
      </c>
      <c r="J51" s="20"/>
      <c r="K51" s="20"/>
      <c r="L51" s="20"/>
      <c r="M51" s="20"/>
      <c r="N51" s="20"/>
      <c r="O51" s="20"/>
      <c r="P51" s="20"/>
      <c r="Q51" s="20"/>
      <c r="R51" s="20"/>
      <c r="S51" s="21" t="str">
        <f t="shared" si="5"/>
        <v/>
      </c>
      <c r="T51" s="20"/>
      <c r="U51" s="20"/>
      <c r="V51" s="20"/>
      <c r="W51" s="20"/>
      <c r="X51" s="20"/>
      <c r="Y51" s="21" t="str">
        <f t="shared" si="6"/>
        <v/>
      </c>
      <c r="Z51" s="22"/>
      <c r="AA51" s="22"/>
      <c r="AB51" s="23">
        <f t="shared" si="7"/>
        <v>0</v>
      </c>
      <c r="AC51" s="19"/>
      <c r="AD51" s="19"/>
      <c r="AE51" s="19"/>
    </row>
    <row r="52" spans="1:31" ht="15" customHeight="1" x14ac:dyDescent="0.3">
      <c r="A52" s="18">
        <v>49</v>
      </c>
      <c r="B52" s="19"/>
      <c r="C52" s="19"/>
      <c r="D52" s="19"/>
      <c r="E52" s="19"/>
      <c r="F52" s="19"/>
      <c r="G52" s="20"/>
      <c r="H52" s="20"/>
      <c r="I52" s="21" t="str">
        <f t="shared" si="4"/>
        <v/>
      </c>
      <c r="J52" s="20"/>
      <c r="K52" s="20"/>
      <c r="L52" s="20"/>
      <c r="M52" s="20"/>
      <c r="N52" s="20"/>
      <c r="O52" s="20"/>
      <c r="P52" s="20"/>
      <c r="Q52" s="20"/>
      <c r="R52" s="20"/>
      <c r="S52" s="21" t="str">
        <f t="shared" si="5"/>
        <v/>
      </c>
      <c r="T52" s="20"/>
      <c r="U52" s="20"/>
      <c r="V52" s="20"/>
      <c r="W52" s="20"/>
      <c r="X52" s="20"/>
      <c r="Y52" s="21" t="str">
        <f t="shared" si="6"/>
        <v/>
      </c>
      <c r="Z52" s="22"/>
      <c r="AA52" s="22"/>
      <c r="AB52" s="23">
        <f t="shared" si="7"/>
        <v>0</v>
      </c>
      <c r="AC52" s="19"/>
      <c r="AD52" s="19"/>
      <c r="AE52" s="19"/>
    </row>
    <row r="53" spans="1:31" ht="15" customHeight="1" x14ac:dyDescent="0.3">
      <c r="A53" s="18">
        <v>50</v>
      </c>
      <c r="B53" s="19"/>
      <c r="C53" s="19"/>
      <c r="D53" s="19"/>
      <c r="E53" s="19"/>
      <c r="F53" s="19"/>
      <c r="G53" s="20"/>
      <c r="H53" s="20"/>
      <c r="I53" s="21" t="str">
        <f t="shared" si="4"/>
        <v/>
      </c>
      <c r="J53" s="20"/>
      <c r="K53" s="20"/>
      <c r="L53" s="20"/>
      <c r="M53" s="20"/>
      <c r="N53" s="20"/>
      <c r="O53" s="20"/>
      <c r="P53" s="20"/>
      <c r="Q53" s="20"/>
      <c r="R53" s="20"/>
      <c r="S53" s="21" t="str">
        <f t="shared" si="5"/>
        <v/>
      </c>
      <c r="T53" s="20"/>
      <c r="U53" s="20"/>
      <c r="V53" s="20"/>
      <c r="W53" s="20"/>
      <c r="X53" s="20"/>
      <c r="Y53" s="21" t="str">
        <f t="shared" si="6"/>
        <v/>
      </c>
      <c r="Z53" s="22"/>
      <c r="AA53" s="22"/>
      <c r="AB53" s="23">
        <f t="shared" si="7"/>
        <v>0</v>
      </c>
      <c r="AC53" s="19"/>
      <c r="AD53" s="19"/>
      <c r="AE53" s="19"/>
    </row>
    <row r="54" spans="1:31" ht="15" customHeight="1" x14ac:dyDescent="0.3">
      <c r="A54" s="18">
        <v>51</v>
      </c>
      <c r="B54" s="19"/>
      <c r="C54" s="19"/>
      <c r="D54" s="19"/>
      <c r="E54" s="19"/>
      <c r="F54" s="19"/>
      <c r="G54" s="20"/>
      <c r="H54" s="20"/>
      <c r="I54" s="21" t="str">
        <f t="shared" si="4"/>
        <v/>
      </c>
      <c r="J54" s="20"/>
      <c r="K54" s="20"/>
      <c r="L54" s="20"/>
      <c r="M54" s="20"/>
      <c r="N54" s="20"/>
      <c r="O54" s="20"/>
      <c r="P54" s="20"/>
      <c r="Q54" s="20"/>
      <c r="R54" s="20"/>
      <c r="S54" s="21" t="str">
        <f t="shared" si="5"/>
        <v/>
      </c>
      <c r="T54" s="20"/>
      <c r="U54" s="20"/>
      <c r="V54" s="20"/>
      <c r="W54" s="20"/>
      <c r="X54" s="20"/>
      <c r="Y54" s="21" t="str">
        <f t="shared" si="6"/>
        <v/>
      </c>
      <c r="Z54" s="22"/>
      <c r="AA54" s="22"/>
      <c r="AB54" s="23">
        <f t="shared" si="7"/>
        <v>0</v>
      </c>
      <c r="AC54" s="19"/>
      <c r="AD54" s="19"/>
      <c r="AE54" s="19"/>
    </row>
    <row r="55" spans="1:31" ht="15" customHeight="1" x14ac:dyDescent="0.3">
      <c r="A55" s="18">
        <v>52</v>
      </c>
      <c r="B55" s="19"/>
      <c r="C55" s="19"/>
      <c r="D55" s="19"/>
      <c r="E55" s="19"/>
      <c r="F55" s="19"/>
      <c r="G55" s="20"/>
      <c r="H55" s="20"/>
      <c r="I55" s="21" t="str">
        <f t="shared" si="4"/>
        <v/>
      </c>
      <c r="J55" s="20"/>
      <c r="K55" s="20"/>
      <c r="L55" s="20"/>
      <c r="M55" s="20"/>
      <c r="N55" s="20"/>
      <c r="O55" s="20"/>
      <c r="P55" s="20"/>
      <c r="Q55" s="20"/>
      <c r="R55" s="20"/>
      <c r="S55" s="21" t="str">
        <f t="shared" si="5"/>
        <v/>
      </c>
      <c r="T55" s="20"/>
      <c r="U55" s="20"/>
      <c r="V55" s="20"/>
      <c r="W55" s="20"/>
      <c r="X55" s="20"/>
      <c r="Y55" s="21" t="str">
        <f t="shared" si="6"/>
        <v/>
      </c>
      <c r="Z55" s="22"/>
      <c r="AA55" s="22"/>
      <c r="AB55" s="23">
        <f t="shared" si="7"/>
        <v>0</v>
      </c>
      <c r="AC55" s="19"/>
      <c r="AD55" s="19"/>
      <c r="AE55" s="19"/>
    </row>
    <row r="56" spans="1:31" ht="15" customHeight="1" x14ac:dyDescent="0.3">
      <c r="A56" s="18">
        <v>53</v>
      </c>
      <c r="B56" s="19"/>
      <c r="C56" s="19"/>
      <c r="D56" s="19"/>
      <c r="E56" s="19"/>
      <c r="F56" s="19"/>
      <c r="G56" s="20"/>
      <c r="H56" s="20"/>
      <c r="I56" s="21" t="str">
        <f t="shared" si="4"/>
        <v/>
      </c>
      <c r="J56" s="20"/>
      <c r="K56" s="20"/>
      <c r="L56" s="20"/>
      <c r="M56" s="20"/>
      <c r="N56" s="20"/>
      <c r="O56" s="20"/>
      <c r="P56" s="20"/>
      <c r="Q56" s="20"/>
      <c r="R56" s="20"/>
      <c r="S56" s="21" t="str">
        <f t="shared" si="5"/>
        <v/>
      </c>
      <c r="T56" s="20"/>
      <c r="U56" s="20"/>
      <c r="V56" s="20"/>
      <c r="W56" s="20"/>
      <c r="X56" s="20"/>
      <c r="Y56" s="21" t="str">
        <f t="shared" si="6"/>
        <v/>
      </c>
      <c r="Z56" s="22"/>
      <c r="AA56" s="22"/>
      <c r="AB56" s="23">
        <f t="shared" si="7"/>
        <v>0</v>
      </c>
      <c r="AC56" s="19"/>
      <c r="AD56" s="19"/>
      <c r="AE56" s="19"/>
    </row>
    <row r="57" spans="1:31" ht="15" customHeight="1" x14ac:dyDescent="0.3">
      <c r="A57" s="18">
        <v>54</v>
      </c>
      <c r="B57" s="19"/>
      <c r="C57" s="19"/>
      <c r="D57" s="19"/>
      <c r="E57" s="19"/>
      <c r="F57" s="19"/>
      <c r="G57" s="20"/>
      <c r="H57" s="20"/>
      <c r="I57" s="21" t="str">
        <f t="shared" si="4"/>
        <v/>
      </c>
      <c r="J57" s="20"/>
      <c r="K57" s="20"/>
      <c r="L57" s="20"/>
      <c r="M57" s="20"/>
      <c r="N57" s="20"/>
      <c r="O57" s="20"/>
      <c r="P57" s="20"/>
      <c r="Q57" s="20"/>
      <c r="R57" s="20"/>
      <c r="S57" s="21" t="str">
        <f t="shared" si="5"/>
        <v/>
      </c>
      <c r="T57" s="20"/>
      <c r="U57" s="20"/>
      <c r="V57" s="20"/>
      <c r="W57" s="20"/>
      <c r="X57" s="20"/>
      <c r="Y57" s="21" t="str">
        <f t="shared" si="6"/>
        <v/>
      </c>
      <c r="Z57" s="22"/>
      <c r="AA57" s="22"/>
      <c r="AB57" s="23">
        <f t="shared" si="7"/>
        <v>0</v>
      </c>
      <c r="AC57" s="19"/>
      <c r="AD57" s="19"/>
      <c r="AE57" s="19"/>
    </row>
    <row r="58" spans="1:31" ht="15" customHeight="1" x14ac:dyDescent="0.3">
      <c r="A58" s="18">
        <v>55</v>
      </c>
      <c r="B58" s="19"/>
      <c r="C58" s="19"/>
      <c r="D58" s="19"/>
      <c r="E58" s="19"/>
      <c r="F58" s="19"/>
      <c r="G58" s="20"/>
      <c r="H58" s="20"/>
      <c r="I58" s="21" t="str">
        <f t="shared" si="4"/>
        <v/>
      </c>
      <c r="J58" s="20"/>
      <c r="K58" s="20"/>
      <c r="L58" s="20"/>
      <c r="M58" s="20"/>
      <c r="N58" s="20"/>
      <c r="O58" s="20"/>
      <c r="P58" s="20"/>
      <c r="Q58" s="20"/>
      <c r="R58" s="20"/>
      <c r="S58" s="21" t="str">
        <f t="shared" si="5"/>
        <v/>
      </c>
      <c r="T58" s="20"/>
      <c r="U58" s="20"/>
      <c r="V58" s="20"/>
      <c r="W58" s="20"/>
      <c r="X58" s="20"/>
      <c r="Y58" s="21" t="str">
        <f t="shared" si="6"/>
        <v/>
      </c>
      <c r="Z58" s="22"/>
      <c r="AA58" s="22"/>
      <c r="AB58" s="23">
        <f t="shared" si="7"/>
        <v>0</v>
      </c>
      <c r="AC58" s="19"/>
      <c r="AD58" s="19"/>
      <c r="AE58" s="19"/>
    </row>
    <row r="59" spans="1:31" ht="15" customHeight="1" x14ac:dyDescent="0.3">
      <c r="A59" s="18">
        <v>56</v>
      </c>
      <c r="B59" s="19"/>
      <c r="C59" s="19"/>
      <c r="D59" s="19"/>
      <c r="E59" s="19"/>
      <c r="F59" s="19"/>
      <c r="G59" s="20"/>
      <c r="H59" s="20"/>
      <c r="I59" s="21" t="str">
        <f t="shared" si="4"/>
        <v/>
      </c>
      <c r="J59" s="20"/>
      <c r="K59" s="20"/>
      <c r="L59" s="20"/>
      <c r="M59" s="20"/>
      <c r="N59" s="20"/>
      <c r="O59" s="20"/>
      <c r="P59" s="20"/>
      <c r="Q59" s="20"/>
      <c r="R59" s="20"/>
      <c r="S59" s="21" t="str">
        <f t="shared" si="5"/>
        <v/>
      </c>
      <c r="T59" s="20"/>
      <c r="U59" s="20"/>
      <c r="V59" s="20"/>
      <c r="W59" s="20"/>
      <c r="X59" s="20"/>
      <c r="Y59" s="21" t="str">
        <f t="shared" si="6"/>
        <v/>
      </c>
      <c r="Z59" s="22"/>
      <c r="AA59" s="22"/>
      <c r="AB59" s="23">
        <f t="shared" si="7"/>
        <v>0</v>
      </c>
      <c r="AC59" s="19"/>
      <c r="AD59" s="19"/>
      <c r="AE59" s="19"/>
    </row>
    <row r="60" spans="1:31" ht="15" customHeight="1" x14ac:dyDescent="0.3">
      <c r="A60" s="18">
        <v>57</v>
      </c>
      <c r="B60" s="19"/>
      <c r="C60" s="19"/>
      <c r="D60" s="19"/>
      <c r="E60" s="19"/>
      <c r="F60" s="19"/>
      <c r="G60" s="20"/>
      <c r="H60" s="20"/>
      <c r="I60" s="21" t="str">
        <f t="shared" si="4"/>
        <v/>
      </c>
      <c r="J60" s="20"/>
      <c r="K60" s="20"/>
      <c r="L60" s="20"/>
      <c r="M60" s="20"/>
      <c r="N60" s="20"/>
      <c r="O60" s="20"/>
      <c r="P60" s="20"/>
      <c r="Q60" s="20"/>
      <c r="R60" s="20"/>
      <c r="S60" s="21" t="str">
        <f t="shared" si="5"/>
        <v/>
      </c>
      <c r="T60" s="20"/>
      <c r="U60" s="20"/>
      <c r="V60" s="20"/>
      <c r="W60" s="20"/>
      <c r="X60" s="20"/>
      <c r="Y60" s="21" t="str">
        <f t="shared" si="6"/>
        <v/>
      </c>
      <c r="Z60" s="22"/>
      <c r="AA60" s="22"/>
      <c r="AB60" s="23">
        <f t="shared" si="7"/>
        <v>0</v>
      </c>
      <c r="AC60" s="19"/>
      <c r="AD60" s="19"/>
      <c r="AE60" s="19"/>
    </row>
    <row r="61" spans="1:31" ht="15" customHeight="1" x14ac:dyDescent="0.3">
      <c r="A61" s="18">
        <v>58</v>
      </c>
      <c r="B61" s="19"/>
      <c r="C61" s="19"/>
      <c r="D61" s="19"/>
      <c r="E61" s="19"/>
      <c r="F61" s="19"/>
      <c r="G61" s="20"/>
      <c r="H61" s="20"/>
      <c r="I61" s="21" t="str">
        <f t="shared" si="4"/>
        <v/>
      </c>
      <c r="J61" s="20"/>
      <c r="K61" s="20"/>
      <c r="L61" s="20"/>
      <c r="M61" s="20"/>
      <c r="N61" s="20"/>
      <c r="O61" s="20"/>
      <c r="P61" s="20"/>
      <c r="Q61" s="20"/>
      <c r="R61" s="20"/>
      <c r="S61" s="21" t="str">
        <f t="shared" si="5"/>
        <v/>
      </c>
      <c r="T61" s="20"/>
      <c r="U61" s="20"/>
      <c r="V61" s="20"/>
      <c r="W61" s="20"/>
      <c r="X61" s="20"/>
      <c r="Y61" s="21" t="str">
        <f t="shared" si="6"/>
        <v/>
      </c>
      <c r="Z61" s="22"/>
      <c r="AA61" s="22"/>
      <c r="AB61" s="23">
        <f t="shared" si="7"/>
        <v>0</v>
      </c>
      <c r="AC61" s="19"/>
      <c r="AD61" s="19"/>
      <c r="AE61" s="19"/>
    </row>
    <row r="62" spans="1:31" ht="15" customHeight="1" x14ac:dyDescent="0.3">
      <c r="A62" s="18">
        <v>59</v>
      </c>
      <c r="B62" s="19"/>
      <c r="C62" s="19"/>
      <c r="D62" s="19"/>
      <c r="E62" s="19"/>
      <c r="F62" s="19"/>
      <c r="G62" s="20"/>
      <c r="H62" s="20"/>
      <c r="I62" s="21" t="str">
        <f t="shared" si="4"/>
        <v/>
      </c>
      <c r="J62" s="20"/>
      <c r="K62" s="20"/>
      <c r="L62" s="20"/>
      <c r="M62" s="20"/>
      <c r="N62" s="20"/>
      <c r="O62" s="20"/>
      <c r="P62" s="20"/>
      <c r="Q62" s="20"/>
      <c r="R62" s="20"/>
      <c r="S62" s="21" t="str">
        <f t="shared" si="5"/>
        <v/>
      </c>
      <c r="T62" s="20"/>
      <c r="U62" s="20"/>
      <c r="V62" s="20"/>
      <c r="W62" s="20"/>
      <c r="X62" s="20"/>
      <c r="Y62" s="21" t="str">
        <f t="shared" si="6"/>
        <v/>
      </c>
      <c r="Z62" s="22"/>
      <c r="AA62" s="22"/>
      <c r="AB62" s="23">
        <f t="shared" si="7"/>
        <v>0</v>
      </c>
      <c r="AC62" s="19"/>
      <c r="AD62" s="19"/>
      <c r="AE62" s="19"/>
    </row>
    <row r="63" spans="1:31" ht="15" customHeight="1" x14ac:dyDescent="0.3">
      <c r="A63" s="18">
        <v>60</v>
      </c>
      <c r="B63" s="19"/>
      <c r="C63" s="19"/>
      <c r="D63" s="19"/>
      <c r="E63" s="19"/>
      <c r="F63" s="19"/>
      <c r="G63" s="20"/>
      <c r="H63" s="20"/>
      <c r="I63" s="21" t="str">
        <f t="shared" si="4"/>
        <v/>
      </c>
      <c r="J63" s="20"/>
      <c r="K63" s="20"/>
      <c r="L63" s="20"/>
      <c r="M63" s="20"/>
      <c r="N63" s="20"/>
      <c r="O63" s="20"/>
      <c r="P63" s="20"/>
      <c r="Q63" s="20"/>
      <c r="R63" s="20"/>
      <c r="S63" s="21" t="str">
        <f t="shared" si="5"/>
        <v/>
      </c>
      <c r="T63" s="20"/>
      <c r="U63" s="20"/>
      <c r="V63" s="20"/>
      <c r="W63" s="20"/>
      <c r="X63" s="20"/>
      <c r="Y63" s="21" t="str">
        <f t="shared" si="6"/>
        <v/>
      </c>
      <c r="Z63" s="22"/>
      <c r="AA63" s="22"/>
      <c r="AB63" s="23">
        <f t="shared" si="7"/>
        <v>0</v>
      </c>
      <c r="AC63" s="19"/>
      <c r="AD63" s="19"/>
      <c r="AE63" s="19"/>
    </row>
    <row r="64" spans="1:31" ht="15" customHeight="1" x14ac:dyDescent="0.3">
      <c r="A64" s="18">
        <v>61</v>
      </c>
      <c r="B64" s="19"/>
      <c r="C64" s="19"/>
      <c r="D64" s="19"/>
      <c r="E64" s="19"/>
      <c r="F64" s="19"/>
      <c r="G64" s="20"/>
      <c r="H64" s="20"/>
      <c r="I64" s="21" t="str">
        <f t="shared" si="4"/>
        <v/>
      </c>
      <c r="J64" s="20"/>
      <c r="K64" s="20"/>
      <c r="L64" s="20"/>
      <c r="M64" s="20"/>
      <c r="N64" s="20"/>
      <c r="O64" s="20"/>
      <c r="P64" s="20"/>
      <c r="Q64" s="20"/>
      <c r="R64" s="20"/>
      <c r="S64" s="21" t="str">
        <f t="shared" si="5"/>
        <v/>
      </c>
      <c r="T64" s="20"/>
      <c r="U64" s="20"/>
      <c r="V64" s="20"/>
      <c r="W64" s="20"/>
      <c r="X64" s="20"/>
      <c r="Y64" s="21" t="str">
        <f t="shared" si="6"/>
        <v/>
      </c>
      <c r="Z64" s="22"/>
      <c r="AA64" s="22"/>
      <c r="AB64" s="23">
        <f t="shared" si="7"/>
        <v>0</v>
      </c>
      <c r="AC64" s="19"/>
      <c r="AD64" s="19"/>
      <c r="AE64" s="19"/>
    </row>
    <row r="65" spans="1:31" ht="15" customHeight="1" x14ac:dyDescent="0.3">
      <c r="A65" s="18">
        <v>62</v>
      </c>
      <c r="B65" s="19"/>
      <c r="C65" s="19"/>
      <c r="D65" s="19"/>
      <c r="E65" s="19"/>
      <c r="F65" s="19"/>
      <c r="G65" s="20"/>
      <c r="H65" s="20"/>
      <c r="I65" s="21" t="str">
        <f t="shared" si="4"/>
        <v/>
      </c>
      <c r="J65" s="20"/>
      <c r="K65" s="20"/>
      <c r="L65" s="20"/>
      <c r="M65" s="20"/>
      <c r="N65" s="20"/>
      <c r="O65" s="20"/>
      <c r="P65" s="20"/>
      <c r="Q65" s="20"/>
      <c r="R65" s="20"/>
      <c r="S65" s="21" t="str">
        <f t="shared" si="5"/>
        <v/>
      </c>
      <c r="T65" s="20"/>
      <c r="U65" s="20"/>
      <c r="V65" s="20"/>
      <c r="W65" s="20"/>
      <c r="X65" s="20"/>
      <c r="Y65" s="21" t="str">
        <f t="shared" si="6"/>
        <v/>
      </c>
      <c r="Z65" s="22"/>
      <c r="AA65" s="22"/>
      <c r="AB65" s="23">
        <f t="shared" si="7"/>
        <v>0</v>
      </c>
      <c r="AC65" s="19"/>
      <c r="AD65" s="19"/>
      <c r="AE65" s="19"/>
    </row>
    <row r="66" spans="1:31" ht="15" customHeight="1" x14ac:dyDescent="0.3">
      <c r="A66" s="18">
        <v>63</v>
      </c>
      <c r="B66" s="19"/>
      <c r="C66" s="19"/>
      <c r="D66" s="19"/>
      <c r="E66" s="19"/>
      <c r="F66" s="19"/>
      <c r="G66" s="20"/>
      <c r="H66" s="20"/>
      <c r="I66" s="21" t="str">
        <f t="shared" si="4"/>
        <v/>
      </c>
      <c r="J66" s="20"/>
      <c r="K66" s="20"/>
      <c r="L66" s="20"/>
      <c r="M66" s="20"/>
      <c r="N66" s="20"/>
      <c r="O66" s="20"/>
      <c r="P66" s="20"/>
      <c r="Q66" s="20"/>
      <c r="R66" s="20"/>
      <c r="S66" s="21" t="str">
        <f t="shared" si="5"/>
        <v/>
      </c>
      <c r="T66" s="20"/>
      <c r="U66" s="20"/>
      <c r="V66" s="20"/>
      <c r="W66" s="20"/>
      <c r="X66" s="20"/>
      <c r="Y66" s="21" t="str">
        <f t="shared" si="6"/>
        <v/>
      </c>
      <c r="Z66" s="22"/>
      <c r="AA66" s="22"/>
      <c r="AB66" s="23">
        <f t="shared" si="7"/>
        <v>0</v>
      </c>
      <c r="AC66" s="19"/>
      <c r="AD66" s="19"/>
      <c r="AE66" s="19"/>
    </row>
    <row r="67" spans="1:31" ht="15" customHeight="1" x14ac:dyDescent="0.3">
      <c r="A67" s="18">
        <v>64</v>
      </c>
      <c r="B67" s="19"/>
      <c r="C67" s="19"/>
      <c r="D67" s="19"/>
      <c r="E67" s="19"/>
      <c r="F67" s="19"/>
      <c r="G67" s="20"/>
      <c r="H67" s="20"/>
      <c r="I67" s="21" t="str">
        <f t="shared" si="4"/>
        <v/>
      </c>
      <c r="J67" s="20"/>
      <c r="K67" s="20"/>
      <c r="L67" s="20"/>
      <c r="M67" s="20"/>
      <c r="N67" s="20"/>
      <c r="O67" s="20"/>
      <c r="P67" s="20"/>
      <c r="Q67" s="20"/>
      <c r="R67" s="20"/>
      <c r="S67" s="21" t="str">
        <f t="shared" si="5"/>
        <v/>
      </c>
      <c r="T67" s="20"/>
      <c r="U67" s="20"/>
      <c r="V67" s="20"/>
      <c r="W67" s="20"/>
      <c r="X67" s="20"/>
      <c r="Y67" s="21" t="str">
        <f t="shared" si="6"/>
        <v/>
      </c>
      <c r="Z67" s="22"/>
      <c r="AA67" s="22"/>
      <c r="AB67" s="23">
        <f t="shared" si="7"/>
        <v>0</v>
      </c>
      <c r="AC67" s="19"/>
      <c r="AD67" s="19"/>
      <c r="AE67" s="19"/>
    </row>
    <row r="68" spans="1:31" ht="15" customHeight="1" x14ac:dyDescent="0.3">
      <c r="A68" s="18">
        <v>65</v>
      </c>
      <c r="B68" s="19"/>
      <c r="C68" s="19"/>
      <c r="D68" s="19"/>
      <c r="E68" s="19"/>
      <c r="F68" s="19"/>
      <c r="G68" s="20"/>
      <c r="H68" s="20"/>
      <c r="I68" s="21" t="str">
        <f t="shared" ref="I68:I99" si="8">IFERROR(H68/G68,"")</f>
        <v/>
      </c>
      <c r="J68" s="20"/>
      <c r="K68" s="20"/>
      <c r="L68" s="20"/>
      <c r="M68" s="20"/>
      <c r="N68" s="20"/>
      <c r="O68" s="20"/>
      <c r="P68" s="20"/>
      <c r="Q68" s="20"/>
      <c r="R68" s="20"/>
      <c r="S68" s="21" t="str">
        <f t="shared" ref="S68:S99" si="9">IFERROR(R68/Q68,"")</f>
        <v/>
      </c>
      <c r="T68" s="20"/>
      <c r="U68" s="20"/>
      <c r="V68" s="20"/>
      <c r="W68" s="20"/>
      <c r="X68" s="20"/>
      <c r="Y68" s="21" t="str">
        <f t="shared" ref="Y68:Y99" si="10">IFERROR(X68/W68,"")</f>
        <v/>
      </c>
      <c r="Z68" s="22"/>
      <c r="AA68" s="22"/>
      <c r="AB68" s="23">
        <f t="shared" ref="AB68:AB99" si="11">IFERROR(AA68-Z68,"")</f>
        <v>0</v>
      </c>
      <c r="AC68" s="19"/>
      <c r="AD68" s="19"/>
      <c r="AE68" s="19"/>
    </row>
    <row r="69" spans="1:31" ht="15" customHeight="1" x14ac:dyDescent="0.3">
      <c r="A69" s="18">
        <v>66</v>
      </c>
      <c r="B69" s="19"/>
      <c r="C69" s="19"/>
      <c r="D69" s="19"/>
      <c r="E69" s="19"/>
      <c r="F69" s="19"/>
      <c r="G69" s="20"/>
      <c r="H69" s="20"/>
      <c r="I69" s="21" t="str">
        <f t="shared" si="8"/>
        <v/>
      </c>
      <c r="J69" s="20"/>
      <c r="K69" s="20"/>
      <c r="L69" s="20"/>
      <c r="M69" s="20"/>
      <c r="N69" s="20"/>
      <c r="O69" s="20"/>
      <c r="P69" s="20"/>
      <c r="Q69" s="20"/>
      <c r="R69" s="20"/>
      <c r="S69" s="21" t="str">
        <f t="shared" si="9"/>
        <v/>
      </c>
      <c r="T69" s="20"/>
      <c r="U69" s="20"/>
      <c r="V69" s="20"/>
      <c r="W69" s="20"/>
      <c r="X69" s="20"/>
      <c r="Y69" s="21" t="str">
        <f t="shared" si="10"/>
        <v/>
      </c>
      <c r="Z69" s="22"/>
      <c r="AA69" s="22"/>
      <c r="AB69" s="23">
        <f t="shared" si="11"/>
        <v>0</v>
      </c>
      <c r="AC69" s="19"/>
      <c r="AD69" s="19"/>
      <c r="AE69" s="19"/>
    </row>
    <row r="70" spans="1:31" ht="15" customHeight="1" x14ac:dyDescent="0.3">
      <c r="A70" s="18">
        <v>67</v>
      </c>
      <c r="B70" s="19"/>
      <c r="C70" s="19"/>
      <c r="D70" s="19"/>
      <c r="E70" s="19"/>
      <c r="F70" s="19"/>
      <c r="G70" s="20"/>
      <c r="H70" s="20"/>
      <c r="I70" s="21" t="str">
        <f t="shared" si="8"/>
        <v/>
      </c>
      <c r="J70" s="20"/>
      <c r="K70" s="20"/>
      <c r="L70" s="20"/>
      <c r="M70" s="20"/>
      <c r="N70" s="20"/>
      <c r="O70" s="20"/>
      <c r="P70" s="20"/>
      <c r="Q70" s="20"/>
      <c r="R70" s="20"/>
      <c r="S70" s="21" t="str">
        <f t="shared" si="9"/>
        <v/>
      </c>
      <c r="T70" s="20"/>
      <c r="U70" s="20"/>
      <c r="V70" s="20"/>
      <c r="W70" s="20"/>
      <c r="X70" s="20"/>
      <c r="Y70" s="21" t="str">
        <f t="shared" si="10"/>
        <v/>
      </c>
      <c r="Z70" s="22"/>
      <c r="AA70" s="22"/>
      <c r="AB70" s="23">
        <f t="shared" si="11"/>
        <v>0</v>
      </c>
      <c r="AC70" s="19"/>
      <c r="AD70" s="19"/>
      <c r="AE70" s="19"/>
    </row>
    <row r="71" spans="1:31" ht="15" customHeight="1" x14ac:dyDescent="0.3">
      <c r="A71" s="18">
        <v>68</v>
      </c>
      <c r="B71" s="19"/>
      <c r="C71" s="19"/>
      <c r="D71" s="19"/>
      <c r="E71" s="19"/>
      <c r="F71" s="19"/>
      <c r="G71" s="20"/>
      <c r="H71" s="20"/>
      <c r="I71" s="21" t="str">
        <f t="shared" si="8"/>
        <v/>
      </c>
      <c r="J71" s="20"/>
      <c r="K71" s="20"/>
      <c r="L71" s="20"/>
      <c r="M71" s="20"/>
      <c r="N71" s="20"/>
      <c r="O71" s="20"/>
      <c r="P71" s="20"/>
      <c r="Q71" s="20"/>
      <c r="R71" s="20"/>
      <c r="S71" s="21" t="str">
        <f t="shared" si="9"/>
        <v/>
      </c>
      <c r="T71" s="20"/>
      <c r="U71" s="20"/>
      <c r="V71" s="20"/>
      <c r="W71" s="20"/>
      <c r="X71" s="20"/>
      <c r="Y71" s="21" t="str">
        <f t="shared" si="10"/>
        <v/>
      </c>
      <c r="Z71" s="22"/>
      <c r="AA71" s="22"/>
      <c r="AB71" s="23">
        <f t="shared" si="11"/>
        <v>0</v>
      </c>
      <c r="AC71" s="19"/>
      <c r="AD71" s="19"/>
      <c r="AE71" s="19"/>
    </row>
    <row r="72" spans="1:31" ht="15" customHeight="1" x14ac:dyDescent="0.3">
      <c r="A72" s="18">
        <v>69</v>
      </c>
      <c r="B72" s="19"/>
      <c r="C72" s="19"/>
      <c r="D72" s="19"/>
      <c r="E72" s="19"/>
      <c r="F72" s="19"/>
      <c r="G72" s="20"/>
      <c r="H72" s="20"/>
      <c r="I72" s="21" t="str">
        <f t="shared" si="8"/>
        <v/>
      </c>
      <c r="J72" s="20"/>
      <c r="K72" s="20"/>
      <c r="L72" s="20"/>
      <c r="M72" s="20"/>
      <c r="N72" s="20"/>
      <c r="O72" s="20"/>
      <c r="P72" s="20"/>
      <c r="Q72" s="20"/>
      <c r="R72" s="20"/>
      <c r="S72" s="21" t="str">
        <f t="shared" si="9"/>
        <v/>
      </c>
      <c r="T72" s="20"/>
      <c r="U72" s="20"/>
      <c r="V72" s="20"/>
      <c r="W72" s="20"/>
      <c r="X72" s="20"/>
      <c r="Y72" s="21" t="str">
        <f t="shared" si="10"/>
        <v/>
      </c>
      <c r="Z72" s="22"/>
      <c r="AA72" s="22"/>
      <c r="AB72" s="23">
        <f t="shared" si="11"/>
        <v>0</v>
      </c>
      <c r="AC72" s="19"/>
      <c r="AD72" s="19"/>
      <c r="AE72" s="19"/>
    </row>
    <row r="73" spans="1:31" ht="15" customHeight="1" x14ac:dyDescent="0.3">
      <c r="A73" s="18">
        <v>70</v>
      </c>
      <c r="B73" s="19"/>
      <c r="C73" s="19"/>
      <c r="D73" s="19"/>
      <c r="E73" s="19"/>
      <c r="F73" s="19"/>
      <c r="G73" s="20"/>
      <c r="H73" s="20"/>
      <c r="I73" s="21" t="str">
        <f t="shared" si="8"/>
        <v/>
      </c>
      <c r="J73" s="20"/>
      <c r="K73" s="20"/>
      <c r="L73" s="20"/>
      <c r="M73" s="20"/>
      <c r="N73" s="20"/>
      <c r="O73" s="20"/>
      <c r="P73" s="20"/>
      <c r="Q73" s="20"/>
      <c r="R73" s="20"/>
      <c r="S73" s="21" t="str">
        <f t="shared" si="9"/>
        <v/>
      </c>
      <c r="T73" s="20"/>
      <c r="U73" s="20"/>
      <c r="V73" s="20"/>
      <c r="W73" s="20"/>
      <c r="X73" s="20"/>
      <c r="Y73" s="21" t="str">
        <f t="shared" si="10"/>
        <v/>
      </c>
      <c r="Z73" s="22"/>
      <c r="AA73" s="22"/>
      <c r="AB73" s="23">
        <f t="shared" si="11"/>
        <v>0</v>
      </c>
      <c r="AC73" s="19"/>
      <c r="AD73" s="19"/>
      <c r="AE73" s="19"/>
    </row>
    <row r="74" spans="1:31" ht="15" customHeight="1" x14ac:dyDescent="0.3">
      <c r="A74" s="18">
        <v>71</v>
      </c>
      <c r="B74" s="19"/>
      <c r="C74" s="19"/>
      <c r="D74" s="19"/>
      <c r="E74" s="19"/>
      <c r="F74" s="19"/>
      <c r="G74" s="20"/>
      <c r="H74" s="20"/>
      <c r="I74" s="21" t="str">
        <f t="shared" si="8"/>
        <v/>
      </c>
      <c r="J74" s="20"/>
      <c r="K74" s="20"/>
      <c r="L74" s="20"/>
      <c r="M74" s="20"/>
      <c r="N74" s="20"/>
      <c r="O74" s="20"/>
      <c r="P74" s="20"/>
      <c r="Q74" s="20"/>
      <c r="R74" s="20"/>
      <c r="S74" s="21" t="str">
        <f t="shared" si="9"/>
        <v/>
      </c>
      <c r="T74" s="20"/>
      <c r="U74" s="20"/>
      <c r="V74" s="20"/>
      <c r="W74" s="20"/>
      <c r="X74" s="20"/>
      <c r="Y74" s="21" t="str">
        <f t="shared" si="10"/>
        <v/>
      </c>
      <c r="Z74" s="22"/>
      <c r="AA74" s="22"/>
      <c r="AB74" s="23">
        <f t="shared" si="11"/>
        <v>0</v>
      </c>
      <c r="AC74" s="19"/>
      <c r="AD74" s="19"/>
      <c r="AE74" s="19"/>
    </row>
    <row r="75" spans="1:31" ht="15" customHeight="1" x14ac:dyDescent="0.3">
      <c r="A75" s="18">
        <v>72</v>
      </c>
      <c r="B75" s="19"/>
      <c r="C75" s="19"/>
      <c r="D75" s="19"/>
      <c r="E75" s="19"/>
      <c r="F75" s="19"/>
      <c r="G75" s="20"/>
      <c r="H75" s="20"/>
      <c r="I75" s="21" t="str">
        <f t="shared" si="8"/>
        <v/>
      </c>
      <c r="J75" s="20"/>
      <c r="K75" s="20"/>
      <c r="L75" s="20"/>
      <c r="M75" s="20"/>
      <c r="N75" s="20"/>
      <c r="O75" s="20"/>
      <c r="P75" s="20"/>
      <c r="Q75" s="20"/>
      <c r="R75" s="20"/>
      <c r="S75" s="21" t="str">
        <f t="shared" si="9"/>
        <v/>
      </c>
      <c r="T75" s="20"/>
      <c r="U75" s="20"/>
      <c r="V75" s="20"/>
      <c r="W75" s="20"/>
      <c r="X75" s="20"/>
      <c r="Y75" s="21" t="str">
        <f t="shared" si="10"/>
        <v/>
      </c>
      <c r="Z75" s="22"/>
      <c r="AA75" s="22"/>
      <c r="AB75" s="23">
        <f t="shared" si="11"/>
        <v>0</v>
      </c>
      <c r="AC75" s="19"/>
      <c r="AD75" s="19"/>
      <c r="AE75" s="19"/>
    </row>
    <row r="76" spans="1:31" ht="15" customHeight="1" x14ac:dyDescent="0.3">
      <c r="A76" s="18">
        <v>73</v>
      </c>
      <c r="B76" s="19"/>
      <c r="C76" s="19"/>
      <c r="D76" s="19"/>
      <c r="E76" s="19"/>
      <c r="F76" s="19"/>
      <c r="G76" s="20"/>
      <c r="H76" s="20"/>
      <c r="I76" s="21" t="str">
        <f t="shared" si="8"/>
        <v/>
      </c>
      <c r="J76" s="20"/>
      <c r="K76" s="20"/>
      <c r="L76" s="20"/>
      <c r="M76" s="20"/>
      <c r="N76" s="20"/>
      <c r="O76" s="20"/>
      <c r="P76" s="20"/>
      <c r="Q76" s="20"/>
      <c r="R76" s="20"/>
      <c r="S76" s="21" t="str">
        <f t="shared" si="9"/>
        <v/>
      </c>
      <c r="T76" s="20"/>
      <c r="U76" s="20"/>
      <c r="V76" s="20"/>
      <c r="W76" s="20"/>
      <c r="X76" s="20"/>
      <c r="Y76" s="21" t="str">
        <f t="shared" si="10"/>
        <v/>
      </c>
      <c r="Z76" s="22"/>
      <c r="AA76" s="22"/>
      <c r="AB76" s="23">
        <f t="shared" si="11"/>
        <v>0</v>
      </c>
      <c r="AC76" s="19"/>
      <c r="AD76" s="19"/>
      <c r="AE76" s="19"/>
    </row>
    <row r="77" spans="1:31" ht="15" customHeight="1" x14ac:dyDescent="0.3">
      <c r="A77" s="18">
        <v>74</v>
      </c>
      <c r="B77" s="19"/>
      <c r="C77" s="19"/>
      <c r="D77" s="19"/>
      <c r="E77" s="19"/>
      <c r="F77" s="19"/>
      <c r="G77" s="20"/>
      <c r="H77" s="20"/>
      <c r="I77" s="21" t="str">
        <f t="shared" si="8"/>
        <v/>
      </c>
      <c r="J77" s="20"/>
      <c r="K77" s="20"/>
      <c r="L77" s="20"/>
      <c r="M77" s="20"/>
      <c r="N77" s="20"/>
      <c r="O77" s="20"/>
      <c r="P77" s="20"/>
      <c r="Q77" s="20"/>
      <c r="R77" s="20"/>
      <c r="S77" s="21" t="str">
        <f t="shared" si="9"/>
        <v/>
      </c>
      <c r="T77" s="20"/>
      <c r="U77" s="20"/>
      <c r="V77" s="20"/>
      <c r="W77" s="20"/>
      <c r="X77" s="20"/>
      <c r="Y77" s="21" t="str">
        <f t="shared" si="10"/>
        <v/>
      </c>
      <c r="Z77" s="22"/>
      <c r="AA77" s="22"/>
      <c r="AB77" s="23">
        <f t="shared" si="11"/>
        <v>0</v>
      </c>
      <c r="AC77" s="19"/>
      <c r="AD77" s="19"/>
      <c r="AE77" s="19"/>
    </row>
    <row r="78" spans="1:31" ht="15" customHeight="1" x14ac:dyDescent="0.3">
      <c r="A78" s="18">
        <v>75</v>
      </c>
      <c r="B78" s="19"/>
      <c r="C78" s="19"/>
      <c r="D78" s="19"/>
      <c r="E78" s="19"/>
      <c r="F78" s="19"/>
      <c r="G78" s="20"/>
      <c r="H78" s="20"/>
      <c r="I78" s="21" t="str">
        <f t="shared" si="8"/>
        <v/>
      </c>
      <c r="J78" s="20"/>
      <c r="K78" s="20"/>
      <c r="L78" s="20"/>
      <c r="M78" s="20"/>
      <c r="N78" s="20"/>
      <c r="O78" s="20"/>
      <c r="P78" s="20"/>
      <c r="Q78" s="20"/>
      <c r="R78" s="20"/>
      <c r="S78" s="21" t="str">
        <f t="shared" si="9"/>
        <v/>
      </c>
      <c r="T78" s="20"/>
      <c r="U78" s="20"/>
      <c r="V78" s="20"/>
      <c r="W78" s="20"/>
      <c r="X78" s="20"/>
      <c r="Y78" s="21" t="str">
        <f t="shared" si="10"/>
        <v/>
      </c>
      <c r="Z78" s="22"/>
      <c r="AA78" s="22"/>
      <c r="AB78" s="23">
        <f t="shared" si="11"/>
        <v>0</v>
      </c>
      <c r="AC78" s="19"/>
      <c r="AD78" s="19"/>
      <c r="AE78" s="19"/>
    </row>
    <row r="79" spans="1:31" ht="15" customHeight="1" x14ac:dyDescent="0.3">
      <c r="A79" s="18">
        <v>76</v>
      </c>
      <c r="B79" s="19"/>
      <c r="C79" s="19"/>
      <c r="D79" s="19"/>
      <c r="E79" s="19"/>
      <c r="F79" s="19"/>
      <c r="G79" s="20"/>
      <c r="H79" s="20"/>
      <c r="I79" s="21" t="str">
        <f t="shared" si="8"/>
        <v/>
      </c>
      <c r="J79" s="20"/>
      <c r="K79" s="20"/>
      <c r="L79" s="20"/>
      <c r="M79" s="20"/>
      <c r="N79" s="20"/>
      <c r="O79" s="20"/>
      <c r="P79" s="20"/>
      <c r="Q79" s="20"/>
      <c r="R79" s="20"/>
      <c r="S79" s="21" t="str">
        <f t="shared" si="9"/>
        <v/>
      </c>
      <c r="T79" s="20"/>
      <c r="U79" s="20"/>
      <c r="V79" s="20"/>
      <c r="W79" s="20"/>
      <c r="X79" s="20"/>
      <c r="Y79" s="21" t="str">
        <f t="shared" si="10"/>
        <v/>
      </c>
      <c r="Z79" s="22"/>
      <c r="AA79" s="22"/>
      <c r="AB79" s="23">
        <f t="shared" si="11"/>
        <v>0</v>
      </c>
      <c r="AC79" s="19"/>
      <c r="AD79" s="19"/>
      <c r="AE79" s="19"/>
    </row>
    <row r="80" spans="1:31" ht="15" customHeight="1" x14ac:dyDescent="0.3">
      <c r="A80" s="18">
        <v>77</v>
      </c>
      <c r="B80" s="19"/>
      <c r="C80" s="19"/>
      <c r="D80" s="19"/>
      <c r="E80" s="19"/>
      <c r="F80" s="19"/>
      <c r="G80" s="20"/>
      <c r="H80" s="20"/>
      <c r="I80" s="21" t="str">
        <f t="shared" si="8"/>
        <v/>
      </c>
      <c r="J80" s="20"/>
      <c r="K80" s="20"/>
      <c r="L80" s="20"/>
      <c r="M80" s="20"/>
      <c r="N80" s="20"/>
      <c r="O80" s="20"/>
      <c r="P80" s="20"/>
      <c r="Q80" s="20"/>
      <c r="R80" s="20"/>
      <c r="S80" s="21" t="str">
        <f t="shared" si="9"/>
        <v/>
      </c>
      <c r="T80" s="20"/>
      <c r="U80" s="20"/>
      <c r="V80" s="20"/>
      <c r="W80" s="20"/>
      <c r="X80" s="20"/>
      <c r="Y80" s="21" t="str">
        <f t="shared" si="10"/>
        <v/>
      </c>
      <c r="Z80" s="22"/>
      <c r="AA80" s="22"/>
      <c r="AB80" s="23">
        <f t="shared" si="11"/>
        <v>0</v>
      </c>
      <c r="AC80" s="19"/>
      <c r="AD80" s="19"/>
      <c r="AE80" s="19"/>
    </row>
    <row r="81" spans="1:31" ht="15" customHeight="1" x14ac:dyDescent="0.3">
      <c r="A81" s="18">
        <v>78</v>
      </c>
      <c r="B81" s="19"/>
      <c r="C81" s="19"/>
      <c r="D81" s="19"/>
      <c r="E81" s="19"/>
      <c r="F81" s="19"/>
      <c r="G81" s="20"/>
      <c r="H81" s="20"/>
      <c r="I81" s="21" t="str">
        <f t="shared" si="8"/>
        <v/>
      </c>
      <c r="J81" s="20"/>
      <c r="K81" s="20"/>
      <c r="L81" s="20"/>
      <c r="M81" s="20"/>
      <c r="N81" s="20"/>
      <c r="O81" s="20"/>
      <c r="P81" s="20"/>
      <c r="Q81" s="20"/>
      <c r="R81" s="20"/>
      <c r="S81" s="21" t="str">
        <f t="shared" si="9"/>
        <v/>
      </c>
      <c r="T81" s="20"/>
      <c r="U81" s="20"/>
      <c r="V81" s="20"/>
      <c r="W81" s="20"/>
      <c r="X81" s="20"/>
      <c r="Y81" s="21" t="str">
        <f t="shared" si="10"/>
        <v/>
      </c>
      <c r="Z81" s="22"/>
      <c r="AA81" s="22"/>
      <c r="AB81" s="23">
        <f t="shared" si="11"/>
        <v>0</v>
      </c>
      <c r="AC81" s="19"/>
      <c r="AD81" s="19"/>
      <c r="AE81" s="19"/>
    </row>
    <row r="82" spans="1:31" ht="15" customHeight="1" x14ac:dyDescent="0.3">
      <c r="A82" s="18">
        <v>79</v>
      </c>
      <c r="B82" s="19"/>
      <c r="C82" s="19"/>
      <c r="D82" s="19"/>
      <c r="E82" s="19"/>
      <c r="F82" s="19"/>
      <c r="G82" s="20"/>
      <c r="H82" s="20"/>
      <c r="I82" s="21" t="str">
        <f t="shared" si="8"/>
        <v/>
      </c>
      <c r="J82" s="20"/>
      <c r="K82" s="20"/>
      <c r="L82" s="20"/>
      <c r="M82" s="20"/>
      <c r="N82" s="20"/>
      <c r="O82" s="20"/>
      <c r="P82" s="20"/>
      <c r="Q82" s="20"/>
      <c r="R82" s="20"/>
      <c r="S82" s="21" t="str">
        <f t="shared" si="9"/>
        <v/>
      </c>
      <c r="T82" s="20"/>
      <c r="U82" s="20"/>
      <c r="V82" s="20"/>
      <c r="W82" s="20"/>
      <c r="X82" s="20"/>
      <c r="Y82" s="21" t="str">
        <f t="shared" si="10"/>
        <v/>
      </c>
      <c r="Z82" s="22"/>
      <c r="AA82" s="22"/>
      <c r="AB82" s="23">
        <f t="shared" si="11"/>
        <v>0</v>
      </c>
      <c r="AC82" s="19"/>
      <c r="AD82" s="19"/>
      <c r="AE82" s="19"/>
    </row>
    <row r="83" spans="1:31" ht="15" customHeight="1" x14ac:dyDescent="0.3">
      <c r="A83" s="18">
        <v>80</v>
      </c>
      <c r="B83" s="19"/>
      <c r="C83" s="19"/>
      <c r="D83" s="19"/>
      <c r="E83" s="19"/>
      <c r="F83" s="19"/>
      <c r="G83" s="20"/>
      <c r="H83" s="20"/>
      <c r="I83" s="21" t="str">
        <f t="shared" si="8"/>
        <v/>
      </c>
      <c r="J83" s="20"/>
      <c r="K83" s="20"/>
      <c r="L83" s="20"/>
      <c r="M83" s="20"/>
      <c r="N83" s="20"/>
      <c r="O83" s="20"/>
      <c r="P83" s="20"/>
      <c r="Q83" s="20"/>
      <c r="R83" s="20"/>
      <c r="S83" s="21" t="str">
        <f t="shared" si="9"/>
        <v/>
      </c>
      <c r="T83" s="20"/>
      <c r="U83" s="20"/>
      <c r="V83" s="20"/>
      <c r="W83" s="20"/>
      <c r="X83" s="20"/>
      <c r="Y83" s="21" t="str">
        <f t="shared" si="10"/>
        <v/>
      </c>
      <c r="Z83" s="22"/>
      <c r="AA83" s="22"/>
      <c r="AB83" s="23">
        <f t="shared" si="11"/>
        <v>0</v>
      </c>
      <c r="AC83" s="19"/>
      <c r="AD83" s="19"/>
      <c r="AE83" s="19"/>
    </row>
    <row r="84" spans="1:31" ht="15" customHeight="1" x14ac:dyDescent="0.3">
      <c r="A84" s="18">
        <v>81</v>
      </c>
      <c r="B84" s="19"/>
      <c r="C84" s="19"/>
      <c r="D84" s="19"/>
      <c r="E84" s="19"/>
      <c r="F84" s="19"/>
      <c r="G84" s="20"/>
      <c r="H84" s="20"/>
      <c r="I84" s="21" t="str">
        <f t="shared" si="8"/>
        <v/>
      </c>
      <c r="J84" s="20"/>
      <c r="K84" s="20"/>
      <c r="L84" s="20"/>
      <c r="M84" s="20"/>
      <c r="N84" s="20"/>
      <c r="O84" s="20"/>
      <c r="P84" s="20"/>
      <c r="Q84" s="20"/>
      <c r="R84" s="20"/>
      <c r="S84" s="21" t="str">
        <f t="shared" si="9"/>
        <v/>
      </c>
      <c r="T84" s="20"/>
      <c r="U84" s="20"/>
      <c r="V84" s="20"/>
      <c r="W84" s="20"/>
      <c r="X84" s="20"/>
      <c r="Y84" s="21" t="str">
        <f t="shared" si="10"/>
        <v/>
      </c>
      <c r="Z84" s="22"/>
      <c r="AA84" s="22"/>
      <c r="AB84" s="23">
        <f t="shared" si="11"/>
        <v>0</v>
      </c>
      <c r="AC84" s="19"/>
      <c r="AD84" s="19"/>
      <c r="AE84" s="19"/>
    </row>
    <row r="85" spans="1:31" ht="15" customHeight="1" x14ac:dyDescent="0.3">
      <c r="A85" s="18">
        <v>82</v>
      </c>
      <c r="B85" s="19"/>
      <c r="C85" s="19"/>
      <c r="D85" s="19"/>
      <c r="E85" s="19"/>
      <c r="F85" s="19"/>
      <c r="G85" s="20"/>
      <c r="H85" s="20"/>
      <c r="I85" s="21" t="str">
        <f t="shared" si="8"/>
        <v/>
      </c>
      <c r="J85" s="20"/>
      <c r="K85" s="20"/>
      <c r="L85" s="20"/>
      <c r="M85" s="20"/>
      <c r="N85" s="20"/>
      <c r="O85" s="20"/>
      <c r="P85" s="20"/>
      <c r="Q85" s="20"/>
      <c r="R85" s="20"/>
      <c r="S85" s="21" t="str">
        <f t="shared" si="9"/>
        <v/>
      </c>
      <c r="T85" s="20"/>
      <c r="U85" s="20"/>
      <c r="V85" s="20"/>
      <c r="W85" s="20"/>
      <c r="X85" s="20"/>
      <c r="Y85" s="21" t="str">
        <f t="shared" si="10"/>
        <v/>
      </c>
      <c r="Z85" s="22"/>
      <c r="AA85" s="22"/>
      <c r="AB85" s="23">
        <f t="shared" si="11"/>
        <v>0</v>
      </c>
      <c r="AC85" s="19"/>
      <c r="AD85" s="19"/>
      <c r="AE85" s="19"/>
    </row>
    <row r="86" spans="1:31" ht="15" customHeight="1" x14ac:dyDescent="0.3">
      <c r="A86" s="18">
        <v>83</v>
      </c>
      <c r="B86" s="19"/>
      <c r="C86" s="19"/>
      <c r="D86" s="19"/>
      <c r="E86" s="19"/>
      <c r="F86" s="19"/>
      <c r="G86" s="20"/>
      <c r="H86" s="20"/>
      <c r="I86" s="21" t="str">
        <f t="shared" si="8"/>
        <v/>
      </c>
      <c r="J86" s="20"/>
      <c r="K86" s="20"/>
      <c r="L86" s="20"/>
      <c r="M86" s="20"/>
      <c r="N86" s="20"/>
      <c r="O86" s="20"/>
      <c r="P86" s="20"/>
      <c r="Q86" s="20"/>
      <c r="R86" s="20"/>
      <c r="S86" s="21" t="str">
        <f t="shared" si="9"/>
        <v/>
      </c>
      <c r="T86" s="20"/>
      <c r="U86" s="20"/>
      <c r="V86" s="20"/>
      <c r="W86" s="20"/>
      <c r="X86" s="20"/>
      <c r="Y86" s="21" t="str">
        <f t="shared" si="10"/>
        <v/>
      </c>
      <c r="Z86" s="22"/>
      <c r="AA86" s="22"/>
      <c r="AB86" s="23">
        <f t="shared" si="11"/>
        <v>0</v>
      </c>
      <c r="AC86" s="19"/>
      <c r="AD86" s="19"/>
      <c r="AE86" s="19"/>
    </row>
    <row r="87" spans="1:31" ht="15" customHeight="1" x14ac:dyDescent="0.3">
      <c r="A87" s="18">
        <v>84</v>
      </c>
      <c r="B87" s="19"/>
      <c r="C87" s="19"/>
      <c r="D87" s="19"/>
      <c r="E87" s="19"/>
      <c r="F87" s="19"/>
      <c r="G87" s="20"/>
      <c r="H87" s="20"/>
      <c r="I87" s="21" t="str">
        <f t="shared" si="8"/>
        <v/>
      </c>
      <c r="J87" s="20"/>
      <c r="K87" s="20"/>
      <c r="L87" s="20"/>
      <c r="M87" s="20"/>
      <c r="N87" s="20"/>
      <c r="O87" s="20"/>
      <c r="P87" s="20"/>
      <c r="Q87" s="20"/>
      <c r="R87" s="20"/>
      <c r="S87" s="21" t="str">
        <f t="shared" si="9"/>
        <v/>
      </c>
      <c r="T87" s="20"/>
      <c r="U87" s="20"/>
      <c r="V87" s="20"/>
      <c r="W87" s="20"/>
      <c r="X87" s="20"/>
      <c r="Y87" s="21" t="str">
        <f t="shared" si="10"/>
        <v/>
      </c>
      <c r="Z87" s="22"/>
      <c r="AA87" s="22"/>
      <c r="AB87" s="23">
        <f t="shared" si="11"/>
        <v>0</v>
      </c>
      <c r="AC87" s="19"/>
      <c r="AD87" s="19"/>
      <c r="AE87" s="19"/>
    </row>
    <row r="88" spans="1:31" ht="15" customHeight="1" x14ac:dyDescent="0.3">
      <c r="A88" s="18">
        <v>85</v>
      </c>
      <c r="B88" s="19"/>
      <c r="C88" s="19"/>
      <c r="D88" s="19"/>
      <c r="E88" s="19"/>
      <c r="F88" s="19"/>
      <c r="G88" s="20"/>
      <c r="H88" s="20"/>
      <c r="I88" s="21" t="str">
        <f t="shared" si="8"/>
        <v/>
      </c>
      <c r="J88" s="20"/>
      <c r="K88" s="20"/>
      <c r="L88" s="20"/>
      <c r="M88" s="20"/>
      <c r="N88" s="20"/>
      <c r="O88" s="20"/>
      <c r="P88" s="20"/>
      <c r="Q88" s="20"/>
      <c r="R88" s="20"/>
      <c r="S88" s="21" t="str">
        <f t="shared" si="9"/>
        <v/>
      </c>
      <c r="T88" s="20"/>
      <c r="U88" s="20"/>
      <c r="V88" s="20"/>
      <c r="W88" s="20"/>
      <c r="X88" s="20"/>
      <c r="Y88" s="21" t="str">
        <f t="shared" si="10"/>
        <v/>
      </c>
      <c r="Z88" s="22"/>
      <c r="AA88" s="22"/>
      <c r="AB88" s="23">
        <f t="shared" si="11"/>
        <v>0</v>
      </c>
      <c r="AC88" s="19"/>
      <c r="AD88" s="19"/>
      <c r="AE88" s="19"/>
    </row>
    <row r="89" spans="1:31" ht="15" customHeight="1" x14ac:dyDescent="0.3">
      <c r="A89" s="18">
        <v>86</v>
      </c>
      <c r="B89" s="19"/>
      <c r="C89" s="19"/>
      <c r="D89" s="19"/>
      <c r="E89" s="19"/>
      <c r="F89" s="19"/>
      <c r="G89" s="20"/>
      <c r="H89" s="20"/>
      <c r="I89" s="21" t="str">
        <f t="shared" si="8"/>
        <v/>
      </c>
      <c r="J89" s="20"/>
      <c r="K89" s="20"/>
      <c r="L89" s="20"/>
      <c r="M89" s="20"/>
      <c r="N89" s="20"/>
      <c r="O89" s="20"/>
      <c r="P89" s="20"/>
      <c r="Q89" s="20"/>
      <c r="R89" s="20"/>
      <c r="S89" s="21" t="str">
        <f t="shared" si="9"/>
        <v/>
      </c>
      <c r="T89" s="20"/>
      <c r="U89" s="20"/>
      <c r="V89" s="20"/>
      <c r="W89" s="20"/>
      <c r="X89" s="20"/>
      <c r="Y89" s="21" t="str">
        <f t="shared" si="10"/>
        <v/>
      </c>
      <c r="Z89" s="22"/>
      <c r="AA89" s="22"/>
      <c r="AB89" s="23">
        <f t="shared" si="11"/>
        <v>0</v>
      </c>
      <c r="AC89" s="19"/>
      <c r="AD89" s="19"/>
      <c r="AE89" s="19"/>
    </row>
    <row r="90" spans="1:31" ht="15" customHeight="1" x14ac:dyDescent="0.3">
      <c r="A90" s="18">
        <v>87</v>
      </c>
      <c r="B90" s="19"/>
      <c r="C90" s="19"/>
      <c r="D90" s="19"/>
      <c r="E90" s="19"/>
      <c r="F90" s="19"/>
      <c r="G90" s="20"/>
      <c r="H90" s="20"/>
      <c r="I90" s="21" t="str">
        <f t="shared" si="8"/>
        <v/>
      </c>
      <c r="J90" s="20"/>
      <c r="K90" s="20"/>
      <c r="L90" s="20"/>
      <c r="M90" s="20"/>
      <c r="N90" s="20"/>
      <c r="O90" s="20"/>
      <c r="P90" s="20"/>
      <c r="Q90" s="20"/>
      <c r="R90" s="20"/>
      <c r="S90" s="21" t="str">
        <f t="shared" si="9"/>
        <v/>
      </c>
      <c r="T90" s="20"/>
      <c r="U90" s="20"/>
      <c r="V90" s="20"/>
      <c r="W90" s="20"/>
      <c r="X90" s="20"/>
      <c r="Y90" s="21" t="str">
        <f t="shared" si="10"/>
        <v/>
      </c>
      <c r="Z90" s="22"/>
      <c r="AA90" s="22"/>
      <c r="AB90" s="23">
        <f t="shared" si="11"/>
        <v>0</v>
      </c>
      <c r="AC90" s="19"/>
      <c r="AD90" s="19"/>
      <c r="AE90" s="19"/>
    </row>
    <row r="91" spans="1:31" ht="15" customHeight="1" x14ac:dyDescent="0.3">
      <c r="A91" s="18">
        <v>88</v>
      </c>
      <c r="B91" s="19"/>
      <c r="C91" s="19"/>
      <c r="D91" s="19"/>
      <c r="E91" s="19"/>
      <c r="F91" s="19"/>
      <c r="G91" s="20"/>
      <c r="H91" s="20"/>
      <c r="I91" s="21" t="str">
        <f t="shared" si="8"/>
        <v/>
      </c>
      <c r="J91" s="20"/>
      <c r="K91" s="20"/>
      <c r="L91" s="20"/>
      <c r="M91" s="20"/>
      <c r="N91" s="20"/>
      <c r="O91" s="20"/>
      <c r="P91" s="20"/>
      <c r="Q91" s="20"/>
      <c r="R91" s="20"/>
      <c r="S91" s="21" t="str">
        <f t="shared" si="9"/>
        <v/>
      </c>
      <c r="T91" s="20"/>
      <c r="U91" s="20"/>
      <c r="V91" s="20"/>
      <c r="W91" s="20"/>
      <c r="X91" s="20"/>
      <c r="Y91" s="21" t="str">
        <f t="shared" si="10"/>
        <v/>
      </c>
      <c r="Z91" s="22"/>
      <c r="AA91" s="22"/>
      <c r="AB91" s="23">
        <f t="shared" si="11"/>
        <v>0</v>
      </c>
      <c r="AC91" s="19"/>
      <c r="AD91" s="19"/>
      <c r="AE91" s="19"/>
    </row>
    <row r="92" spans="1:31" ht="15" customHeight="1" x14ac:dyDescent="0.3">
      <c r="A92" s="18">
        <v>89</v>
      </c>
      <c r="B92" s="19"/>
      <c r="C92" s="19"/>
      <c r="D92" s="19"/>
      <c r="E92" s="19"/>
      <c r="F92" s="19"/>
      <c r="G92" s="20"/>
      <c r="H92" s="20"/>
      <c r="I92" s="21" t="str">
        <f t="shared" si="8"/>
        <v/>
      </c>
      <c r="J92" s="20"/>
      <c r="K92" s="20"/>
      <c r="L92" s="20"/>
      <c r="M92" s="20"/>
      <c r="N92" s="20"/>
      <c r="O92" s="20"/>
      <c r="P92" s="20"/>
      <c r="Q92" s="20"/>
      <c r="R92" s="20"/>
      <c r="S92" s="21" t="str">
        <f t="shared" si="9"/>
        <v/>
      </c>
      <c r="T92" s="20"/>
      <c r="U92" s="20"/>
      <c r="V92" s="20"/>
      <c r="W92" s="20"/>
      <c r="X92" s="20"/>
      <c r="Y92" s="21" t="str">
        <f t="shared" si="10"/>
        <v/>
      </c>
      <c r="Z92" s="22"/>
      <c r="AA92" s="22"/>
      <c r="AB92" s="23">
        <f t="shared" si="11"/>
        <v>0</v>
      </c>
      <c r="AC92" s="19"/>
      <c r="AD92" s="19"/>
      <c r="AE92" s="19"/>
    </row>
    <row r="93" spans="1:31" ht="15" customHeight="1" x14ac:dyDescent="0.3">
      <c r="A93" s="18">
        <v>90</v>
      </c>
      <c r="B93" s="19"/>
      <c r="C93" s="19"/>
      <c r="D93" s="19"/>
      <c r="E93" s="19"/>
      <c r="F93" s="19"/>
      <c r="G93" s="20"/>
      <c r="H93" s="20"/>
      <c r="I93" s="21" t="str">
        <f t="shared" si="8"/>
        <v/>
      </c>
      <c r="J93" s="20"/>
      <c r="K93" s="20"/>
      <c r="L93" s="20"/>
      <c r="M93" s="20"/>
      <c r="N93" s="20"/>
      <c r="O93" s="20"/>
      <c r="P93" s="20"/>
      <c r="Q93" s="20"/>
      <c r="R93" s="20"/>
      <c r="S93" s="21" t="str">
        <f t="shared" si="9"/>
        <v/>
      </c>
      <c r="T93" s="20"/>
      <c r="U93" s="20"/>
      <c r="V93" s="20"/>
      <c r="W93" s="20"/>
      <c r="X93" s="20"/>
      <c r="Y93" s="21" t="str">
        <f t="shared" si="10"/>
        <v/>
      </c>
      <c r="Z93" s="22"/>
      <c r="AA93" s="22"/>
      <c r="AB93" s="23">
        <f t="shared" si="11"/>
        <v>0</v>
      </c>
      <c r="AC93" s="19"/>
      <c r="AD93" s="19"/>
      <c r="AE93" s="19"/>
    </row>
    <row r="94" spans="1:31" ht="15" customHeight="1" x14ac:dyDescent="0.3">
      <c r="A94" s="18">
        <v>91</v>
      </c>
      <c r="B94" s="19"/>
      <c r="C94" s="19"/>
      <c r="D94" s="19"/>
      <c r="E94" s="19"/>
      <c r="F94" s="19"/>
      <c r="G94" s="20"/>
      <c r="H94" s="20"/>
      <c r="I94" s="21" t="str">
        <f t="shared" si="8"/>
        <v/>
      </c>
      <c r="J94" s="20"/>
      <c r="K94" s="20"/>
      <c r="L94" s="20"/>
      <c r="M94" s="20"/>
      <c r="N94" s="20"/>
      <c r="O94" s="20"/>
      <c r="P94" s="20"/>
      <c r="Q94" s="20"/>
      <c r="R94" s="20"/>
      <c r="S94" s="21" t="str">
        <f t="shared" si="9"/>
        <v/>
      </c>
      <c r="T94" s="20"/>
      <c r="U94" s="20"/>
      <c r="V94" s="20"/>
      <c r="W94" s="20"/>
      <c r="X94" s="20"/>
      <c r="Y94" s="21" t="str">
        <f t="shared" si="10"/>
        <v/>
      </c>
      <c r="Z94" s="22"/>
      <c r="AA94" s="22"/>
      <c r="AB94" s="23">
        <f t="shared" si="11"/>
        <v>0</v>
      </c>
      <c r="AC94" s="19"/>
      <c r="AD94" s="19"/>
      <c r="AE94" s="19"/>
    </row>
    <row r="95" spans="1:31" ht="15" customHeight="1" x14ac:dyDescent="0.3">
      <c r="A95" s="18">
        <v>92</v>
      </c>
      <c r="B95" s="19"/>
      <c r="C95" s="19"/>
      <c r="D95" s="19"/>
      <c r="E95" s="19"/>
      <c r="F95" s="19"/>
      <c r="G95" s="20"/>
      <c r="H95" s="20"/>
      <c r="I95" s="21" t="str">
        <f t="shared" si="8"/>
        <v/>
      </c>
      <c r="J95" s="20"/>
      <c r="K95" s="20"/>
      <c r="L95" s="20"/>
      <c r="M95" s="20"/>
      <c r="N95" s="20"/>
      <c r="O95" s="20"/>
      <c r="P95" s="20"/>
      <c r="Q95" s="20"/>
      <c r="R95" s="20"/>
      <c r="S95" s="21" t="str">
        <f t="shared" si="9"/>
        <v/>
      </c>
      <c r="T95" s="20"/>
      <c r="U95" s="20"/>
      <c r="V95" s="20"/>
      <c r="W95" s="20"/>
      <c r="X95" s="20"/>
      <c r="Y95" s="21" t="str">
        <f t="shared" si="10"/>
        <v/>
      </c>
      <c r="Z95" s="22"/>
      <c r="AA95" s="22"/>
      <c r="AB95" s="23">
        <f t="shared" si="11"/>
        <v>0</v>
      </c>
      <c r="AC95" s="19"/>
      <c r="AD95" s="19"/>
      <c r="AE95" s="19"/>
    </row>
    <row r="96" spans="1:31" ht="15" customHeight="1" x14ac:dyDescent="0.3">
      <c r="A96" s="18">
        <v>93</v>
      </c>
      <c r="B96" s="19"/>
      <c r="C96" s="19"/>
      <c r="D96" s="19"/>
      <c r="E96" s="19"/>
      <c r="F96" s="19"/>
      <c r="G96" s="20"/>
      <c r="H96" s="20"/>
      <c r="I96" s="21" t="str">
        <f t="shared" si="8"/>
        <v/>
      </c>
      <c r="J96" s="20"/>
      <c r="K96" s="20"/>
      <c r="L96" s="20"/>
      <c r="M96" s="20"/>
      <c r="N96" s="20"/>
      <c r="O96" s="20"/>
      <c r="P96" s="20"/>
      <c r="Q96" s="20"/>
      <c r="R96" s="20"/>
      <c r="S96" s="21" t="str">
        <f t="shared" si="9"/>
        <v/>
      </c>
      <c r="T96" s="20"/>
      <c r="U96" s="20"/>
      <c r="V96" s="20"/>
      <c r="W96" s="20"/>
      <c r="X96" s="20"/>
      <c r="Y96" s="21" t="str">
        <f t="shared" si="10"/>
        <v/>
      </c>
      <c r="Z96" s="22"/>
      <c r="AA96" s="22"/>
      <c r="AB96" s="23">
        <f t="shared" si="11"/>
        <v>0</v>
      </c>
      <c r="AC96" s="19"/>
      <c r="AD96" s="19"/>
      <c r="AE96" s="19"/>
    </row>
    <row r="97" spans="1:31" ht="15" customHeight="1" x14ac:dyDescent="0.3">
      <c r="A97" s="18">
        <v>94</v>
      </c>
      <c r="B97" s="19"/>
      <c r="C97" s="19"/>
      <c r="D97" s="19"/>
      <c r="E97" s="19"/>
      <c r="F97" s="19"/>
      <c r="G97" s="20"/>
      <c r="H97" s="20"/>
      <c r="I97" s="21" t="str">
        <f t="shared" si="8"/>
        <v/>
      </c>
      <c r="J97" s="20"/>
      <c r="K97" s="20"/>
      <c r="L97" s="20"/>
      <c r="M97" s="20"/>
      <c r="N97" s="20"/>
      <c r="O97" s="20"/>
      <c r="P97" s="20"/>
      <c r="Q97" s="20"/>
      <c r="R97" s="20"/>
      <c r="S97" s="21" t="str">
        <f t="shared" si="9"/>
        <v/>
      </c>
      <c r="T97" s="20"/>
      <c r="U97" s="20"/>
      <c r="V97" s="20"/>
      <c r="W97" s="20"/>
      <c r="X97" s="20"/>
      <c r="Y97" s="21" t="str">
        <f t="shared" si="10"/>
        <v/>
      </c>
      <c r="Z97" s="22"/>
      <c r="AA97" s="22"/>
      <c r="AB97" s="23">
        <f t="shared" si="11"/>
        <v>0</v>
      </c>
      <c r="AC97" s="19"/>
      <c r="AD97" s="19"/>
      <c r="AE97" s="19"/>
    </row>
    <row r="98" spans="1:31" ht="15" customHeight="1" x14ac:dyDescent="0.3">
      <c r="A98" s="18">
        <v>95</v>
      </c>
      <c r="B98" s="19"/>
      <c r="C98" s="19"/>
      <c r="D98" s="19"/>
      <c r="E98" s="19"/>
      <c r="F98" s="19"/>
      <c r="G98" s="20"/>
      <c r="H98" s="20"/>
      <c r="I98" s="21" t="str">
        <f t="shared" si="8"/>
        <v/>
      </c>
      <c r="J98" s="20"/>
      <c r="K98" s="20"/>
      <c r="L98" s="20"/>
      <c r="M98" s="20"/>
      <c r="N98" s="20"/>
      <c r="O98" s="20"/>
      <c r="P98" s="20"/>
      <c r="Q98" s="20"/>
      <c r="R98" s="20"/>
      <c r="S98" s="21" t="str">
        <f t="shared" si="9"/>
        <v/>
      </c>
      <c r="T98" s="20"/>
      <c r="U98" s="20"/>
      <c r="V98" s="20"/>
      <c r="W98" s="20"/>
      <c r="X98" s="20"/>
      <c r="Y98" s="21" t="str">
        <f t="shared" si="10"/>
        <v/>
      </c>
      <c r="Z98" s="22"/>
      <c r="AA98" s="22"/>
      <c r="AB98" s="23">
        <f t="shared" si="11"/>
        <v>0</v>
      </c>
      <c r="AC98" s="19"/>
      <c r="AD98" s="19"/>
      <c r="AE98" s="19"/>
    </row>
    <row r="99" spans="1:31" ht="15" customHeight="1" x14ac:dyDescent="0.3">
      <c r="A99" s="18">
        <v>96</v>
      </c>
      <c r="B99" s="19"/>
      <c r="C99" s="19"/>
      <c r="D99" s="19"/>
      <c r="E99" s="19"/>
      <c r="F99" s="19"/>
      <c r="G99" s="20"/>
      <c r="H99" s="20"/>
      <c r="I99" s="21" t="str">
        <f t="shared" si="8"/>
        <v/>
      </c>
      <c r="J99" s="20"/>
      <c r="K99" s="20"/>
      <c r="L99" s="20"/>
      <c r="M99" s="20"/>
      <c r="N99" s="20"/>
      <c r="O99" s="20"/>
      <c r="P99" s="20"/>
      <c r="Q99" s="20"/>
      <c r="R99" s="20"/>
      <c r="S99" s="21" t="str">
        <f t="shared" si="9"/>
        <v/>
      </c>
      <c r="T99" s="20"/>
      <c r="U99" s="20"/>
      <c r="V99" s="20"/>
      <c r="W99" s="20"/>
      <c r="X99" s="20"/>
      <c r="Y99" s="21" t="str">
        <f t="shared" si="10"/>
        <v/>
      </c>
      <c r="Z99" s="22"/>
      <c r="AA99" s="22"/>
      <c r="AB99" s="23">
        <f t="shared" si="11"/>
        <v>0</v>
      </c>
      <c r="AC99" s="19"/>
      <c r="AD99" s="19"/>
      <c r="AE99" s="19"/>
    </row>
    <row r="100" spans="1:31" ht="15" customHeight="1" x14ac:dyDescent="0.3">
      <c r="A100" s="18">
        <v>97</v>
      </c>
      <c r="B100" s="19"/>
      <c r="C100" s="19"/>
      <c r="D100" s="19"/>
      <c r="E100" s="19"/>
      <c r="F100" s="19"/>
      <c r="G100" s="20"/>
      <c r="H100" s="20"/>
      <c r="I100" s="21" t="str">
        <f t="shared" ref="I100:I103" si="12">IFERROR(H100/G100,"")</f>
        <v/>
      </c>
      <c r="J100" s="20"/>
      <c r="K100" s="20"/>
      <c r="L100" s="20"/>
      <c r="M100" s="20"/>
      <c r="N100" s="20"/>
      <c r="O100" s="20"/>
      <c r="P100" s="20"/>
      <c r="Q100" s="20"/>
      <c r="R100" s="20"/>
      <c r="S100" s="21" t="str">
        <f t="shared" ref="S100:S103" si="13">IFERROR(R100/Q100,"")</f>
        <v/>
      </c>
      <c r="T100" s="20"/>
      <c r="U100" s="20"/>
      <c r="V100" s="20"/>
      <c r="W100" s="20"/>
      <c r="X100" s="20"/>
      <c r="Y100" s="21" t="str">
        <f t="shared" ref="Y100:Y103" si="14">IFERROR(X100/W100,"")</f>
        <v/>
      </c>
      <c r="Z100" s="22"/>
      <c r="AA100" s="22"/>
      <c r="AB100" s="23">
        <f t="shared" ref="AB100:AB103" si="15">IFERROR(AA100-Z100,"")</f>
        <v>0</v>
      </c>
      <c r="AC100" s="19"/>
      <c r="AD100" s="19"/>
      <c r="AE100" s="19"/>
    </row>
    <row r="101" spans="1:31" ht="15" customHeight="1" x14ac:dyDescent="0.3">
      <c r="A101" s="18">
        <v>98</v>
      </c>
      <c r="B101" s="19"/>
      <c r="C101" s="19"/>
      <c r="D101" s="19"/>
      <c r="E101" s="19"/>
      <c r="F101" s="19"/>
      <c r="G101" s="20"/>
      <c r="H101" s="20"/>
      <c r="I101" s="21" t="str">
        <f t="shared" si="12"/>
        <v/>
      </c>
      <c r="J101" s="20"/>
      <c r="K101" s="20"/>
      <c r="L101" s="20"/>
      <c r="M101" s="20"/>
      <c r="N101" s="20"/>
      <c r="O101" s="20"/>
      <c r="P101" s="20"/>
      <c r="Q101" s="20"/>
      <c r="R101" s="20"/>
      <c r="S101" s="21" t="str">
        <f t="shared" si="13"/>
        <v/>
      </c>
      <c r="T101" s="20"/>
      <c r="U101" s="20"/>
      <c r="V101" s="20"/>
      <c r="W101" s="20"/>
      <c r="X101" s="20"/>
      <c r="Y101" s="21" t="str">
        <f t="shared" si="14"/>
        <v/>
      </c>
      <c r="Z101" s="22"/>
      <c r="AA101" s="22"/>
      <c r="AB101" s="23">
        <f t="shared" si="15"/>
        <v>0</v>
      </c>
      <c r="AC101" s="19"/>
      <c r="AD101" s="19"/>
      <c r="AE101" s="19"/>
    </row>
    <row r="102" spans="1:31" ht="15" customHeight="1" x14ac:dyDescent="0.3">
      <c r="A102" s="18">
        <v>99</v>
      </c>
      <c r="B102" s="19"/>
      <c r="C102" s="19"/>
      <c r="D102" s="19"/>
      <c r="E102" s="19"/>
      <c r="F102" s="19"/>
      <c r="G102" s="20"/>
      <c r="H102" s="20"/>
      <c r="I102" s="21" t="str">
        <f t="shared" si="12"/>
        <v/>
      </c>
      <c r="J102" s="20"/>
      <c r="K102" s="20"/>
      <c r="L102" s="20"/>
      <c r="M102" s="20"/>
      <c r="N102" s="20"/>
      <c r="O102" s="20"/>
      <c r="P102" s="20"/>
      <c r="Q102" s="20"/>
      <c r="R102" s="20"/>
      <c r="S102" s="21" t="str">
        <f t="shared" si="13"/>
        <v/>
      </c>
      <c r="T102" s="20"/>
      <c r="U102" s="20"/>
      <c r="V102" s="20"/>
      <c r="W102" s="20"/>
      <c r="X102" s="20"/>
      <c r="Y102" s="21" t="str">
        <f t="shared" si="14"/>
        <v/>
      </c>
      <c r="Z102" s="22"/>
      <c r="AA102" s="22"/>
      <c r="AB102" s="23">
        <f t="shared" si="15"/>
        <v>0</v>
      </c>
      <c r="AC102" s="19"/>
      <c r="AD102" s="19"/>
      <c r="AE102" s="19"/>
    </row>
    <row r="103" spans="1:31" ht="15" customHeight="1" x14ac:dyDescent="0.3">
      <c r="A103" s="18">
        <v>100</v>
      </c>
      <c r="B103" s="19"/>
      <c r="C103" s="19"/>
      <c r="D103" s="19"/>
      <c r="E103" s="19"/>
      <c r="F103" s="19"/>
      <c r="G103" s="20"/>
      <c r="H103" s="20"/>
      <c r="I103" s="21" t="str">
        <f t="shared" si="12"/>
        <v/>
      </c>
      <c r="J103" s="20"/>
      <c r="K103" s="20"/>
      <c r="L103" s="20"/>
      <c r="M103" s="20"/>
      <c r="N103" s="20"/>
      <c r="O103" s="20"/>
      <c r="P103" s="20"/>
      <c r="Q103" s="20"/>
      <c r="R103" s="20"/>
      <c r="S103" s="21" t="str">
        <f t="shared" si="13"/>
        <v/>
      </c>
      <c r="T103" s="20"/>
      <c r="U103" s="20"/>
      <c r="V103" s="20"/>
      <c r="W103" s="20"/>
      <c r="X103" s="20"/>
      <c r="Y103" s="21" t="str">
        <f t="shared" si="14"/>
        <v/>
      </c>
      <c r="Z103" s="22"/>
      <c r="AA103" s="22"/>
      <c r="AB103" s="23">
        <f t="shared" si="15"/>
        <v>0</v>
      </c>
      <c r="AC103" s="19"/>
      <c r="AD103" s="19"/>
      <c r="AE103" s="19"/>
    </row>
  </sheetData>
  <autoFilter ref="A3:AC103" xr:uid="{00000000-0009-0000-0000-000001000000}"/>
  <mergeCells count="1">
    <mergeCell ref="A2:O2"/>
  </mergeCells>
  <dataValidations count="2">
    <dataValidation type="list" allowBlank="1" sqref="F4:F103" xr:uid="{00000000-0002-0000-0100-000000000000}">
      <formula1>"Trọng điểm,Thường"</formula1>
      <formula2>0</formula2>
    </dataValidation>
    <dataValidation type="list" allowBlank="1" sqref="AC4:AC103" xr:uid="{00000000-0002-0000-0100-000001000000}">
      <formula1>"Chưa triển khai,Đang triển khai,Cơ bản hoàn thành,Đã hoàn thành"</formula1>
    </dataValidation>
  </dataValidations>
  <pageMargins left="0.75" right="0.75" top="1" bottom="1" header="0.511811023622047" footer="0.511811023622047"/>
  <pageSetup paperSize="9"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00000"/>
  </sheetPr>
  <dimension ref="A1:K63"/>
  <sheetViews>
    <sheetView zoomScaleNormal="100" workbookViewId="0">
      <pane ySplit="4" topLeftCell="A5" activePane="bottomLeft" state="frozen"/>
      <selection pane="bottomLeft"/>
    </sheetView>
  </sheetViews>
  <sheetFormatPr defaultColWidth="8.6640625" defaultRowHeight="14.4" x14ac:dyDescent="0.3"/>
  <cols>
    <col min="1" max="1" width="6" style="1" customWidth="1"/>
    <col min="2" max="2" width="28" style="1" customWidth="1"/>
    <col min="3" max="3" width="22" style="1" customWidth="1"/>
    <col min="4" max="4" width="18" style="1" customWidth="1"/>
    <col min="5" max="5" width="34" style="1" customWidth="1"/>
    <col min="6" max="6" width="22" style="1" customWidth="1"/>
    <col min="7" max="7" width="34" style="1" customWidth="1"/>
    <col min="8" max="8" width="18" style="1" customWidth="1"/>
    <col min="9" max="9" width="14" style="1" customWidth="1"/>
    <col min="10" max="10" width="12" style="1" customWidth="1"/>
    <col min="11" max="11" width="20" style="2" customWidth="1"/>
  </cols>
  <sheetData>
    <row r="1" spans="1:11" ht="17.399999999999999" customHeight="1" x14ac:dyDescent="0.3">
      <c r="A1" s="36" t="s">
        <v>70</v>
      </c>
      <c r="B1" s="37"/>
      <c r="C1" s="37"/>
      <c r="D1" s="37"/>
      <c r="E1" s="37"/>
      <c r="F1" s="37"/>
      <c r="G1" s="37"/>
      <c r="H1" s="37"/>
      <c r="I1" s="37"/>
      <c r="J1" s="37"/>
    </row>
    <row r="2" spans="1:11" ht="15" customHeight="1" x14ac:dyDescent="0.3">
      <c r="A2" s="38" t="s">
        <v>71</v>
      </c>
      <c r="B2" s="37"/>
      <c r="C2" s="37"/>
      <c r="D2" s="37"/>
      <c r="E2" s="37"/>
      <c r="F2" s="37"/>
      <c r="G2" s="37"/>
      <c r="H2" s="37"/>
      <c r="I2" s="37"/>
      <c r="J2" s="37"/>
    </row>
    <row r="4" spans="1:11" ht="30" customHeight="1" x14ac:dyDescent="0.3">
      <c r="A4" s="6" t="s">
        <v>28</v>
      </c>
      <c r="B4" s="6" t="s">
        <v>29</v>
      </c>
      <c r="C4" s="6" t="s">
        <v>72</v>
      </c>
      <c r="D4" s="6" t="s">
        <v>73</v>
      </c>
      <c r="E4" s="6" t="s">
        <v>74</v>
      </c>
      <c r="F4" s="6" t="s">
        <v>75</v>
      </c>
      <c r="G4" s="6" t="s">
        <v>76</v>
      </c>
      <c r="H4" s="6" t="s">
        <v>77</v>
      </c>
      <c r="I4" s="6" t="s">
        <v>78</v>
      </c>
      <c r="J4" s="6" t="s">
        <v>57</v>
      </c>
      <c r="K4" s="6" t="s">
        <v>58</v>
      </c>
    </row>
    <row r="5" spans="1:11" ht="15" customHeight="1" x14ac:dyDescent="0.3">
      <c r="A5" s="7">
        <v>1</v>
      </c>
      <c r="B5" s="24"/>
      <c r="C5" s="24"/>
      <c r="D5" s="24"/>
      <c r="E5" s="24"/>
      <c r="F5" s="24"/>
      <c r="G5" s="24"/>
      <c r="H5" s="24"/>
      <c r="I5" s="24"/>
      <c r="J5" s="24"/>
      <c r="K5" s="24"/>
    </row>
    <row r="6" spans="1:11" ht="15" customHeight="1" x14ac:dyDescent="0.3">
      <c r="A6" s="7">
        <v>2</v>
      </c>
      <c r="B6" s="24"/>
      <c r="C6" s="24"/>
      <c r="D6" s="24"/>
      <c r="E6" s="24"/>
      <c r="F6" s="24"/>
      <c r="G6" s="24"/>
      <c r="H6" s="24"/>
      <c r="I6" s="24"/>
      <c r="J6" s="24"/>
      <c r="K6" s="24"/>
    </row>
    <row r="7" spans="1:11" ht="15" customHeight="1" x14ac:dyDescent="0.3">
      <c r="A7" s="7">
        <v>3</v>
      </c>
      <c r="B7" s="24"/>
      <c r="C7" s="24"/>
      <c r="D7" s="24"/>
      <c r="E7" s="24"/>
      <c r="F7" s="24"/>
      <c r="G7" s="24"/>
      <c r="H7" s="24"/>
      <c r="I7" s="24"/>
      <c r="J7" s="24"/>
      <c r="K7" s="24"/>
    </row>
    <row r="8" spans="1:11" ht="15" customHeight="1" x14ac:dyDescent="0.3">
      <c r="A8" s="7">
        <v>4</v>
      </c>
      <c r="B8" s="24"/>
      <c r="C8" s="24"/>
      <c r="D8" s="24"/>
      <c r="E8" s="24"/>
      <c r="F8" s="24"/>
      <c r="G8" s="24"/>
      <c r="H8" s="24"/>
      <c r="I8" s="24"/>
      <c r="J8" s="24"/>
      <c r="K8" s="24"/>
    </row>
    <row r="9" spans="1:11" ht="15" customHeight="1" x14ac:dyDescent="0.3">
      <c r="A9" s="7">
        <v>5</v>
      </c>
      <c r="B9" s="24"/>
      <c r="C9" s="24"/>
      <c r="D9" s="24"/>
      <c r="E9" s="24"/>
      <c r="F9" s="24"/>
      <c r="G9" s="24"/>
      <c r="H9" s="24"/>
      <c r="I9" s="24"/>
      <c r="J9" s="24"/>
      <c r="K9" s="24"/>
    </row>
    <row r="10" spans="1:11" ht="15" customHeight="1" x14ac:dyDescent="0.3">
      <c r="A10" s="7">
        <v>6</v>
      </c>
      <c r="B10" s="24"/>
      <c r="C10" s="24"/>
      <c r="D10" s="24"/>
      <c r="E10" s="24"/>
      <c r="F10" s="24"/>
      <c r="G10" s="24"/>
      <c r="H10" s="24"/>
      <c r="I10" s="24"/>
      <c r="J10" s="24"/>
      <c r="K10" s="24"/>
    </row>
    <row r="11" spans="1:11" ht="15" customHeight="1" x14ac:dyDescent="0.3">
      <c r="A11" s="7">
        <v>7</v>
      </c>
      <c r="B11" s="24"/>
      <c r="C11" s="24"/>
      <c r="D11" s="24"/>
      <c r="E11" s="24"/>
      <c r="F11" s="24"/>
      <c r="G11" s="24"/>
      <c r="H11" s="24"/>
      <c r="I11" s="24"/>
      <c r="J11" s="24"/>
      <c r="K11" s="24"/>
    </row>
    <row r="12" spans="1:11" ht="15" customHeight="1" x14ac:dyDescent="0.3">
      <c r="A12" s="7">
        <v>8</v>
      </c>
      <c r="B12" s="24"/>
      <c r="C12" s="24"/>
      <c r="D12" s="24"/>
      <c r="E12" s="24"/>
      <c r="F12" s="24"/>
      <c r="G12" s="24"/>
      <c r="H12" s="24"/>
      <c r="I12" s="24"/>
      <c r="J12" s="24"/>
      <c r="K12" s="24"/>
    </row>
    <row r="13" spans="1:11" ht="15" customHeight="1" x14ac:dyDescent="0.3">
      <c r="A13" s="7">
        <v>9</v>
      </c>
      <c r="B13" s="24"/>
      <c r="C13" s="24"/>
      <c r="D13" s="24"/>
      <c r="E13" s="24"/>
      <c r="F13" s="24"/>
      <c r="G13" s="24"/>
      <c r="H13" s="24"/>
      <c r="I13" s="24"/>
      <c r="J13" s="24"/>
      <c r="K13" s="24"/>
    </row>
    <row r="14" spans="1:11" ht="15" customHeight="1" x14ac:dyDescent="0.3">
      <c r="A14" s="7">
        <v>10</v>
      </c>
      <c r="B14" s="24"/>
      <c r="C14" s="24"/>
      <c r="D14" s="24"/>
      <c r="E14" s="24"/>
      <c r="F14" s="24"/>
      <c r="G14" s="24"/>
      <c r="H14" s="24"/>
      <c r="I14" s="24"/>
      <c r="J14" s="24"/>
      <c r="K14" s="24"/>
    </row>
    <row r="15" spans="1:11" ht="15" customHeight="1" x14ac:dyDescent="0.3">
      <c r="A15" s="7">
        <v>11</v>
      </c>
      <c r="B15" s="24"/>
      <c r="C15" s="24"/>
      <c r="D15" s="24"/>
      <c r="E15" s="24"/>
      <c r="F15" s="24"/>
      <c r="G15" s="24"/>
      <c r="H15" s="24"/>
      <c r="I15" s="24"/>
      <c r="J15" s="24"/>
      <c r="K15" s="24"/>
    </row>
    <row r="16" spans="1:11" ht="15" customHeight="1" x14ac:dyDescent="0.3">
      <c r="A16" s="7">
        <v>12</v>
      </c>
      <c r="B16" s="24"/>
      <c r="C16" s="24"/>
      <c r="D16" s="24"/>
      <c r="E16" s="24"/>
      <c r="F16" s="24"/>
      <c r="G16" s="24"/>
      <c r="H16" s="24"/>
      <c r="I16" s="24"/>
      <c r="J16" s="24"/>
      <c r="K16" s="24"/>
    </row>
    <row r="17" spans="1:11" ht="15" customHeight="1" x14ac:dyDescent="0.3">
      <c r="A17" s="7">
        <v>13</v>
      </c>
      <c r="B17" s="24"/>
      <c r="C17" s="24"/>
      <c r="D17" s="24"/>
      <c r="E17" s="24"/>
      <c r="F17" s="24"/>
      <c r="G17" s="24"/>
      <c r="H17" s="24"/>
      <c r="I17" s="24"/>
      <c r="J17" s="24"/>
      <c r="K17" s="24"/>
    </row>
    <row r="18" spans="1:11" ht="15" customHeight="1" x14ac:dyDescent="0.3">
      <c r="A18" s="7">
        <v>14</v>
      </c>
      <c r="B18" s="24"/>
      <c r="C18" s="24"/>
      <c r="D18" s="24"/>
      <c r="E18" s="24"/>
      <c r="F18" s="24"/>
      <c r="G18" s="24"/>
      <c r="H18" s="24"/>
      <c r="I18" s="24"/>
      <c r="J18" s="24"/>
      <c r="K18" s="24"/>
    </row>
    <row r="19" spans="1:11" ht="15" customHeight="1" x14ac:dyDescent="0.3">
      <c r="A19" s="7">
        <v>15</v>
      </c>
      <c r="B19" s="24"/>
      <c r="C19" s="24"/>
      <c r="D19" s="24"/>
      <c r="E19" s="24"/>
      <c r="F19" s="24"/>
      <c r="G19" s="24"/>
      <c r="H19" s="24"/>
      <c r="I19" s="24"/>
      <c r="J19" s="24"/>
      <c r="K19" s="24"/>
    </row>
    <row r="20" spans="1:11" ht="15" customHeight="1" x14ac:dyDescent="0.3">
      <c r="A20" s="7">
        <v>16</v>
      </c>
      <c r="B20" s="24"/>
      <c r="C20" s="24"/>
      <c r="D20" s="24"/>
      <c r="E20" s="24"/>
      <c r="F20" s="24"/>
      <c r="G20" s="24"/>
      <c r="H20" s="24"/>
      <c r="I20" s="24"/>
      <c r="J20" s="24"/>
      <c r="K20" s="24"/>
    </row>
    <row r="21" spans="1:11" ht="15" customHeight="1" x14ac:dyDescent="0.3">
      <c r="A21" s="7">
        <v>17</v>
      </c>
      <c r="B21" s="24"/>
      <c r="C21" s="24"/>
      <c r="D21" s="24"/>
      <c r="E21" s="24"/>
      <c r="F21" s="24"/>
      <c r="G21" s="24"/>
      <c r="H21" s="24"/>
      <c r="I21" s="24"/>
      <c r="J21" s="24"/>
      <c r="K21" s="24"/>
    </row>
    <row r="22" spans="1:11" ht="15" customHeight="1" x14ac:dyDescent="0.3">
      <c r="A22" s="7">
        <v>18</v>
      </c>
      <c r="B22" s="24"/>
      <c r="C22" s="24"/>
      <c r="D22" s="24"/>
      <c r="E22" s="24"/>
      <c r="F22" s="24"/>
      <c r="G22" s="24"/>
      <c r="H22" s="24"/>
      <c r="I22" s="24"/>
      <c r="J22" s="24"/>
      <c r="K22" s="24"/>
    </row>
    <row r="23" spans="1:11" ht="15" customHeight="1" x14ac:dyDescent="0.3">
      <c r="A23" s="7">
        <v>19</v>
      </c>
      <c r="B23" s="24"/>
      <c r="C23" s="24"/>
      <c r="D23" s="24"/>
      <c r="E23" s="24"/>
      <c r="F23" s="24"/>
      <c r="G23" s="24"/>
      <c r="H23" s="24"/>
      <c r="I23" s="24"/>
      <c r="J23" s="24"/>
      <c r="K23" s="24"/>
    </row>
    <row r="24" spans="1:11" ht="15" customHeight="1" x14ac:dyDescent="0.3">
      <c r="A24" s="7">
        <v>20</v>
      </c>
      <c r="B24" s="24"/>
      <c r="C24" s="24"/>
      <c r="D24" s="24"/>
      <c r="E24" s="24"/>
      <c r="F24" s="24"/>
      <c r="G24" s="24"/>
      <c r="H24" s="24"/>
      <c r="I24" s="24"/>
      <c r="J24" s="24"/>
      <c r="K24" s="24"/>
    </row>
    <row r="25" spans="1:11" ht="15" customHeight="1" x14ac:dyDescent="0.3">
      <c r="A25" s="7">
        <v>21</v>
      </c>
      <c r="B25" s="24"/>
      <c r="C25" s="24"/>
      <c r="D25" s="24"/>
      <c r="E25" s="24"/>
      <c r="F25" s="24"/>
      <c r="G25" s="24"/>
      <c r="H25" s="24"/>
      <c r="I25" s="24"/>
      <c r="J25" s="24"/>
      <c r="K25" s="24"/>
    </row>
    <row r="26" spans="1:11" ht="15" customHeight="1" x14ac:dyDescent="0.3">
      <c r="A26" s="7">
        <v>22</v>
      </c>
      <c r="B26" s="24"/>
      <c r="C26" s="24"/>
      <c r="D26" s="24"/>
      <c r="E26" s="24"/>
      <c r="F26" s="24"/>
      <c r="G26" s="24"/>
      <c r="H26" s="24"/>
      <c r="I26" s="24"/>
      <c r="J26" s="24"/>
      <c r="K26" s="24"/>
    </row>
    <row r="27" spans="1:11" ht="15" customHeight="1" x14ac:dyDescent="0.3">
      <c r="A27" s="7">
        <v>23</v>
      </c>
      <c r="B27" s="24"/>
      <c r="C27" s="24"/>
      <c r="D27" s="24"/>
      <c r="E27" s="24"/>
      <c r="F27" s="24"/>
      <c r="G27" s="24"/>
      <c r="H27" s="24"/>
      <c r="I27" s="24"/>
      <c r="J27" s="24"/>
      <c r="K27" s="24"/>
    </row>
    <row r="28" spans="1:11" ht="15" customHeight="1" x14ac:dyDescent="0.3">
      <c r="A28" s="7">
        <v>24</v>
      </c>
      <c r="B28" s="24"/>
      <c r="C28" s="24"/>
      <c r="D28" s="24"/>
      <c r="E28" s="24"/>
      <c r="F28" s="24"/>
      <c r="G28" s="24"/>
      <c r="H28" s="24"/>
      <c r="I28" s="24"/>
      <c r="J28" s="24"/>
      <c r="K28" s="24"/>
    </row>
    <row r="29" spans="1:11" ht="15" customHeight="1" x14ac:dyDescent="0.3">
      <c r="A29" s="7">
        <v>25</v>
      </c>
      <c r="B29" s="24"/>
      <c r="C29" s="24"/>
      <c r="D29" s="24"/>
      <c r="E29" s="24"/>
      <c r="F29" s="24"/>
      <c r="G29" s="24"/>
      <c r="H29" s="24"/>
      <c r="I29" s="24"/>
      <c r="J29" s="24"/>
      <c r="K29" s="24"/>
    </row>
    <row r="30" spans="1:11" ht="15" customHeight="1" x14ac:dyDescent="0.3">
      <c r="A30" s="7">
        <v>26</v>
      </c>
      <c r="B30" s="24"/>
      <c r="C30" s="24"/>
      <c r="D30" s="24"/>
      <c r="E30" s="24"/>
      <c r="F30" s="24"/>
      <c r="G30" s="24"/>
      <c r="H30" s="24"/>
      <c r="I30" s="24"/>
      <c r="J30" s="24"/>
      <c r="K30" s="24"/>
    </row>
    <row r="31" spans="1:11" ht="15" customHeight="1" x14ac:dyDescent="0.3">
      <c r="A31" s="7">
        <v>27</v>
      </c>
      <c r="B31" s="24"/>
      <c r="C31" s="24"/>
      <c r="D31" s="24"/>
      <c r="E31" s="24"/>
      <c r="F31" s="24"/>
      <c r="G31" s="24"/>
      <c r="H31" s="24"/>
      <c r="I31" s="24"/>
      <c r="J31" s="24"/>
      <c r="K31" s="24"/>
    </row>
    <row r="32" spans="1:11" ht="15" customHeight="1" x14ac:dyDescent="0.3">
      <c r="A32" s="7">
        <v>28</v>
      </c>
      <c r="B32" s="24"/>
      <c r="C32" s="24"/>
      <c r="D32" s="24"/>
      <c r="E32" s="24"/>
      <c r="F32" s="24"/>
      <c r="G32" s="24"/>
      <c r="H32" s="24"/>
      <c r="I32" s="24"/>
      <c r="J32" s="24"/>
      <c r="K32" s="24"/>
    </row>
    <row r="33" spans="1:11" ht="15" customHeight="1" x14ac:dyDescent="0.3">
      <c r="A33" s="7">
        <v>29</v>
      </c>
      <c r="B33" s="24"/>
      <c r="C33" s="24"/>
      <c r="D33" s="24"/>
      <c r="E33" s="24"/>
      <c r="F33" s="24"/>
      <c r="G33" s="24"/>
      <c r="H33" s="24"/>
      <c r="I33" s="24"/>
      <c r="J33" s="24"/>
      <c r="K33" s="24"/>
    </row>
    <row r="34" spans="1:11" ht="15" customHeight="1" x14ac:dyDescent="0.3">
      <c r="A34" s="7">
        <v>30</v>
      </c>
      <c r="B34" s="24"/>
      <c r="C34" s="24"/>
      <c r="D34" s="24"/>
      <c r="E34" s="24"/>
      <c r="F34" s="24"/>
      <c r="G34" s="24"/>
      <c r="H34" s="24"/>
      <c r="I34" s="24"/>
      <c r="J34" s="24"/>
      <c r="K34" s="24"/>
    </row>
    <row r="35" spans="1:11" ht="15" customHeight="1" x14ac:dyDescent="0.3">
      <c r="A35" s="7">
        <v>31</v>
      </c>
      <c r="B35" s="24"/>
      <c r="C35" s="24"/>
      <c r="D35" s="24"/>
      <c r="E35" s="24"/>
      <c r="F35" s="24"/>
      <c r="G35" s="24"/>
      <c r="H35" s="24"/>
      <c r="I35" s="24"/>
      <c r="J35" s="24"/>
      <c r="K35" s="24"/>
    </row>
    <row r="36" spans="1:11" ht="15" customHeight="1" x14ac:dyDescent="0.3">
      <c r="A36" s="7">
        <v>32</v>
      </c>
      <c r="B36" s="24"/>
      <c r="C36" s="24"/>
      <c r="D36" s="24"/>
      <c r="E36" s="24"/>
      <c r="F36" s="24"/>
      <c r="G36" s="24"/>
      <c r="H36" s="24"/>
      <c r="I36" s="24"/>
      <c r="J36" s="24"/>
      <c r="K36" s="24"/>
    </row>
    <row r="37" spans="1:11" ht="15" customHeight="1" x14ac:dyDescent="0.3">
      <c r="A37" s="7">
        <v>33</v>
      </c>
      <c r="B37" s="24"/>
      <c r="C37" s="24"/>
      <c r="D37" s="24"/>
      <c r="E37" s="24"/>
      <c r="F37" s="24"/>
      <c r="G37" s="24"/>
      <c r="H37" s="24"/>
      <c r="I37" s="24"/>
      <c r="J37" s="24"/>
      <c r="K37" s="24"/>
    </row>
    <row r="38" spans="1:11" ht="15" customHeight="1" x14ac:dyDescent="0.3">
      <c r="A38" s="7">
        <v>34</v>
      </c>
      <c r="B38" s="24"/>
      <c r="C38" s="24"/>
      <c r="D38" s="24"/>
      <c r="E38" s="24"/>
      <c r="F38" s="24"/>
      <c r="G38" s="24"/>
      <c r="H38" s="24"/>
      <c r="I38" s="24"/>
      <c r="J38" s="24"/>
      <c r="K38" s="24"/>
    </row>
    <row r="39" spans="1:11" ht="15" customHeight="1" x14ac:dyDescent="0.3">
      <c r="A39" s="7">
        <v>35</v>
      </c>
      <c r="B39" s="24"/>
      <c r="C39" s="24"/>
      <c r="D39" s="24"/>
      <c r="E39" s="24"/>
      <c r="F39" s="24"/>
      <c r="G39" s="24"/>
      <c r="H39" s="24"/>
      <c r="I39" s="24"/>
      <c r="J39" s="24"/>
      <c r="K39" s="24"/>
    </row>
    <row r="40" spans="1:11" ht="15" customHeight="1" x14ac:dyDescent="0.3">
      <c r="A40" s="7">
        <v>36</v>
      </c>
      <c r="B40" s="24"/>
      <c r="C40" s="24"/>
      <c r="D40" s="24"/>
      <c r="E40" s="24"/>
      <c r="F40" s="24"/>
      <c r="G40" s="24"/>
      <c r="H40" s="24"/>
      <c r="I40" s="24"/>
      <c r="J40" s="24"/>
      <c r="K40" s="24"/>
    </row>
    <row r="41" spans="1:11" ht="15" customHeight="1" x14ac:dyDescent="0.3">
      <c r="A41" s="7">
        <v>37</v>
      </c>
      <c r="B41" s="24"/>
      <c r="C41" s="24"/>
      <c r="D41" s="24"/>
      <c r="E41" s="24"/>
      <c r="F41" s="24"/>
      <c r="G41" s="24"/>
      <c r="H41" s="24"/>
      <c r="I41" s="24"/>
      <c r="J41" s="24"/>
      <c r="K41" s="24"/>
    </row>
    <row r="42" spans="1:11" ht="15" customHeight="1" x14ac:dyDescent="0.3">
      <c r="A42" s="7">
        <v>38</v>
      </c>
      <c r="B42" s="24"/>
      <c r="C42" s="24"/>
      <c r="D42" s="24"/>
      <c r="E42" s="24"/>
      <c r="F42" s="24"/>
      <c r="G42" s="24"/>
      <c r="H42" s="24"/>
      <c r="I42" s="24"/>
      <c r="J42" s="24"/>
      <c r="K42" s="24"/>
    </row>
    <row r="43" spans="1:11" ht="15" customHeight="1" x14ac:dyDescent="0.3">
      <c r="A43" s="7">
        <v>39</v>
      </c>
      <c r="B43" s="24"/>
      <c r="C43" s="24"/>
      <c r="D43" s="24"/>
      <c r="E43" s="24"/>
      <c r="F43" s="24"/>
      <c r="G43" s="24"/>
      <c r="H43" s="24"/>
      <c r="I43" s="24"/>
      <c r="J43" s="24"/>
      <c r="K43" s="24"/>
    </row>
    <row r="44" spans="1:11" ht="15" customHeight="1" x14ac:dyDescent="0.3">
      <c r="A44" s="7">
        <v>40</v>
      </c>
      <c r="B44" s="24"/>
      <c r="C44" s="24"/>
      <c r="D44" s="24"/>
      <c r="E44" s="24"/>
      <c r="F44" s="24"/>
      <c r="G44" s="24"/>
      <c r="H44" s="24"/>
      <c r="I44" s="24"/>
      <c r="J44" s="24"/>
      <c r="K44" s="24"/>
    </row>
    <row r="45" spans="1:11" ht="15" customHeight="1" x14ac:dyDescent="0.3">
      <c r="A45" s="7">
        <v>41</v>
      </c>
      <c r="B45" s="24"/>
      <c r="C45" s="24"/>
      <c r="D45" s="24"/>
      <c r="E45" s="24"/>
      <c r="F45" s="24"/>
      <c r="G45" s="24"/>
      <c r="H45" s="24"/>
      <c r="I45" s="24"/>
      <c r="J45" s="24"/>
      <c r="K45" s="24"/>
    </row>
    <row r="46" spans="1:11" ht="15" customHeight="1" x14ac:dyDescent="0.3">
      <c r="A46" s="7">
        <v>42</v>
      </c>
      <c r="B46" s="24"/>
      <c r="C46" s="24"/>
      <c r="D46" s="24"/>
      <c r="E46" s="24"/>
      <c r="F46" s="24"/>
      <c r="G46" s="24"/>
      <c r="H46" s="24"/>
      <c r="I46" s="24"/>
      <c r="J46" s="24"/>
      <c r="K46" s="24"/>
    </row>
    <row r="47" spans="1:11" ht="15" customHeight="1" x14ac:dyDescent="0.3">
      <c r="A47" s="7">
        <v>43</v>
      </c>
      <c r="B47" s="24"/>
      <c r="C47" s="24"/>
      <c r="D47" s="24"/>
      <c r="E47" s="24"/>
      <c r="F47" s="24"/>
      <c r="G47" s="24"/>
      <c r="H47" s="24"/>
      <c r="I47" s="24"/>
      <c r="J47" s="24"/>
      <c r="K47" s="24"/>
    </row>
    <row r="48" spans="1:11" ht="15" customHeight="1" x14ac:dyDescent="0.3">
      <c r="A48" s="7">
        <v>44</v>
      </c>
      <c r="B48" s="24"/>
      <c r="C48" s="24"/>
      <c r="D48" s="24"/>
      <c r="E48" s="24"/>
      <c r="F48" s="24"/>
      <c r="G48" s="24"/>
      <c r="H48" s="24"/>
      <c r="I48" s="24"/>
      <c r="J48" s="24"/>
      <c r="K48" s="24"/>
    </row>
    <row r="49" spans="1:11" ht="15" customHeight="1" x14ac:dyDescent="0.3">
      <c r="A49" s="7">
        <v>45</v>
      </c>
      <c r="B49" s="24"/>
      <c r="C49" s="24"/>
      <c r="D49" s="24"/>
      <c r="E49" s="24"/>
      <c r="F49" s="24"/>
      <c r="G49" s="24"/>
      <c r="H49" s="24"/>
      <c r="I49" s="24"/>
      <c r="J49" s="24"/>
      <c r="K49" s="24"/>
    </row>
    <row r="50" spans="1:11" ht="15" customHeight="1" x14ac:dyDescent="0.3">
      <c r="A50" s="7">
        <v>46</v>
      </c>
      <c r="B50" s="24"/>
      <c r="C50" s="24"/>
      <c r="D50" s="24"/>
      <c r="E50" s="24"/>
      <c r="F50" s="24"/>
      <c r="G50" s="24"/>
      <c r="H50" s="24"/>
      <c r="I50" s="24"/>
      <c r="J50" s="24"/>
      <c r="K50" s="24"/>
    </row>
    <row r="51" spans="1:11" ht="15" customHeight="1" x14ac:dyDescent="0.3">
      <c r="A51" s="7">
        <v>47</v>
      </c>
      <c r="B51" s="24"/>
      <c r="C51" s="24"/>
      <c r="D51" s="24"/>
      <c r="E51" s="24"/>
      <c r="F51" s="24"/>
      <c r="G51" s="24"/>
      <c r="H51" s="24"/>
      <c r="I51" s="24"/>
      <c r="J51" s="24"/>
      <c r="K51" s="24"/>
    </row>
    <row r="52" spans="1:11" ht="15" customHeight="1" x14ac:dyDescent="0.3">
      <c r="A52" s="7">
        <v>48</v>
      </c>
      <c r="B52" s="24"/>
      <c r="C52" s="24"/>
      <c r="D52" s="24"/>
      <c r="E52" s="24"/>
      <c r="F52" s="24"/>
      <c r="G52" s="24"/>
      <c r="H52" s="24"/>
      <c r="I52" s="24"/>
      <c r="J52" s="24"/>
      <c r="K52" s="24"/>
    </row>
    <row r="53" spans="1:11" ht="15" customHeight="1" x14ac:dyDescent="0.3">
      <c r="A53" s="7">
        <v>49</v>
      </c>
      <c r="B53" s="24"/>
      <c r="C53" s="24"/>
      <c r="D53" s="24"/>
      <c r="E53" s="24"/>
      <c r="F53" s="24"/>
      <c r="G53" s="24"/>
      <c r="H53" s="24"/>
      <c r="I53" s="24"/>
      <c r="J53" s="24"/>
      <c r="K53" s="24"/>
    </row>
    <row r="54" spans="1:11" ht="15" customHeight="1" x14ac:dyDescent="0.3">
      <c r="A54" s="7">
        <v>50</v>
      </c>
      <c r="B54" s="24"/>
      <c r="C54" s="24"/>
      <c r="D54" s="24"/>
      <c r="E54" s="24"/>
      <c r="F54" s="24"/>
      <c r="G54" s="24"/>
      <c r="H54" s="24"/>
      <c r="I54" s="24"/>
      <c r="J54" s="24"/>
      <c r="K54" s="24"/>
    </row>
    <row r="55" spans="1:11" ht="15" customHeight="1" x14ac:dyDescent="0.3">
      <c r="A55" s="7">
        <v>51</v>
      </c>
      <c r="B55" s="24"/>
      <c r="C55" s="24"/>
      <c r="D55" s="24"/>
      <c r="E55" s="24"/>
      <c r="F55" s="24"/>
      <c r="G55" s="24"/>
      <c r="H55" s="24"/>
      <c r="I55" s="24"/>
      <c r="J55" s="24"/>
      <c r="K55" s="24"/>
    </row>
    <row r="56" spans="1:11" ht="15" customHeight="1" x14ac:dyDescent="0.3">
      <c r="A56" s="7">
        <v>52</v>
      </c>
      <c r="B56" s="24"/>
      <c r="C56" s="24"/>
      <c r="D56" s="24"/>
      <c r="E56" s="24"/>
      <c r="F56" s="24"/>
      <c r="G56" s="24"/>
      <c r="H56" s="24"/>
      <c r="I56" s="24"/>
      <c r="J56" s="24"/>
      <c r="K56" s="24"/>
    </row>
    <row r="57" spans="1:11" ht="15" customHeight="1" x14ac:dyDescent="0.3">
      <c r="A57" s="7">
        <v>53</v>
      </c>
      <c r="B57" s="24"/>
      <c r="C57" s="24"/>
      <c r="D57" s="24"/>
      <c r="E57" s="24"/>
      <c r="F57" s="24"/>
      <c r="G57" s="24"/>
      <c r="H57" s="24"/>
      <c r="I57" s="24"/>
      <c r="J57" s="24"/>
      <c r="K57" s="24"/>
    </row>
    <row r="58" spans="1:11" ht="15" customHeight="1" x14ac:dyDescent="0.3">
      <c r="A58" s="7">
        <v>54</v>
      </c>
      <c r="B58" s="24"/>
      <c r="C58" s="24"/>
      <c r="D58" s="24"/>
      <c r="E58" s="24"/>
      <c r="F58" s="24"/>
      <c r="G58" s="24"/>
      <c r="H58" s="24"/>
      <c r="I58" s="24"/>
      <c r="J58" s="24"/>
      <c r="K58" s="24"/>
    </row>
    <row r="59" spans="1:11" ht="15" customHeight="1" x14ac:dyDescent="0.3">
      <c r="A59" s="7">
        <v>55</v>
      </c>
      <c r="B59" s="24"/>
      <c r="C59" s="24"/>
      <c r="D59" s="24"/>
      <c r="E59" s="24"/>
      <c r="F59" s="24"/>
      <c r="G59" s="24"/>
      <c r="H59" s="24"/>
      <c r="I59" s="24"/>
      <c r="J59" s="24"/>
      <c r="K59" s="24"/>
    </row>
    <row r="60" spans="1:11" ht="15" customHeight="1" x14ac:dyDescent="0.3">
      <c r="A60" s="7">
        <v>56</v>
      </c>
      <c r="B60" s="24"/>
      <c r="C60" s="24"/>
      <c r="D60" s="24"/>
      <c r="E60" s="24"/>
      <c r="F60" s="24"/>
      <c r="G60" s="24"/>
      <c r="H60" s="24"/>
      <c r="I60" s="24"/>
      <c r="J60" s="24"/>
      <c r="K60" s="24"/>
    </row>
    <row r="61" spans="1:11" ht="15" customHeight="1" x14ac:dyDescent="0.3">
      <c r="A61" s="7">
        <v>57</v>
      </c>
      <c r="B61" s="24"/>
      <c r="C61" s="24"/>
      <c r="D61" s="24"/>
      <c r="E61" s="24"/>
      <c r="F61" s="24"/>
      <c r="G61" s="24"/>
      <c r="H61" s="24"/>
      <c r="I61" s="24"/>
      <c r="J61" s="24"/>
      <c r="K61" s="24"/>
    </row>
    <row r="62" spans="1:11" ht="15" customHeight="1" x14ac:dyDescent="0.3">
      <c r="A62" s="7">
        <v>58</v>
      </c>
      <c r="B62" s="24"/>
      <c r="C62" s="24"/>
      <c r="D62" s="24"/>
      <c r="E62" s="24"/>
      <c r="F62" s="24"/>
      <c r="G62" s="24"/>
      <c r="H62" s="24"/>
      <c r="I62" s="24"/>
      <c r="J62" s="24"/>
      <c r="K62" s="24"/>
    </row>
    <row r="63" spans="1:11" ht="15" customHeight="1" x14ac:dyDescent="0.3">
      <c r="A63" s="7">
        <v>59</v>
      </c>
      <c r="B63" s="24"/>
      <c r="C63" s="24"/>
      <c r="D63" s="24"/>
      <c r="E63" s="24"/>
      <c r="F63" s="24"/>
      <c r="G63" s="24"/>
      <c r="H63" s="24"/>
      <c r="I63" s="24"/>
      <c r="J63" s="24"/>
      <c r="K63" s="24"/>
    </row>
  </sheetData>
  <autoFilter ref="A4:J63" xr:uid="{00000000-0009-0000-0000-000002000000}"/>
  <mergeCells count="2">
    <mergeCell ref="A1:J1"/>
    <mergeCell ref="A2:J2"/>
  </mergeCells>
  <dataValidations count="3">
    <dataValidation type="list" allowBlank="1" sqref="D5:D63" xr:uid="{00000000-0002-0000-0200-000001000000}">
      <formula1>"Đơn giá/chính sách bồi thường,Pháp lý nguồn gốc đất,Quỹ nhà/đất tái định cư,Nguồn vốn/giải ngân,Khiếu nại của người dân,Khác"</formula1>
    </dataValidation>
    <dataValidation type="list" allowBlank="1" sqref="H5:H63" xr:uid="{00000000-0002-0000-0200-000002000000}">
      <formula1>"Sở Nông nghiệp và Môi trường,UBND phường/xã,UBND Thành phố,Trung ương"</formula1>
    </dataValidation>
    <dataValidation type="list" allowBlank="1" sqref="I5:I63" xr:uid="{00000000-0002-0000-0200-000003000000}">
      <formula1>"Đang xử lý,Đã giải quyết"</formula1>
    </dataValidation>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
        <x14:dataValidation type="list" allowBlank="1" xr:uid="{00000000-0002-0000-0200-000000000000}">
          <x14:formula1>
            <xm:f>'Danh mục dự án'!$B$4:$B$103</xm:f>
          </x14:formula1>
          <x14:formula2>
            <xm:f>0</xm:f>
          </x14:formula2>
          <xm:sqref>B5:B63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808080"/>
  </sheetPr>
  <dimension ref="A1:E22"/>
  <sheetViews>
    <sheetView zoomScaleNormal="100" workbookViewId="0">
      <pane ySplit="4" topLeftCell="A5" activePane="bottomLeft" state="frozen"/>
      <selection pane="bottomLeft"/>
    </sheetView>
  </sheetViews>
  <sheetFormatPr defaultColWidth="8.6640625" defaultRowHeight="14.4" x14ac:dyDescent="0.3"/>
  <cols>
    <col min="1" max="1" width="6" style="1" customWidth="1"/>
    <col min="2" max="2" width="22" style="1" customWidth="1"/>
    <col min="3" max="3" width="30" style="1" customWidth="1"/>
    <col min="4" max="4" width="44" style="1" customWidth="1"/>
    <col min="5" max="5" width="60" style="1" customWidth="1"/>
  </cols>
  <sheetData>
    <row r="1" spans="1:5" ht="17.399999999999999" customHeight="1" x14ac:dyDescent="0.3">
      <c r="A1" s="36" t="s">
        <v>79</v>
      </c>
      <c r="B1" s="37"/>
      <c r="C1" s="37"/>
      <c r="D1" s="37"/>
      <c r="E1" s="37"/>
    </row>
    <row r="2" spans="1:5" ht="15" customHeight="1" x14ac:dyDescent="0.3">
      <c r="A2" s="38" t="s">
        <v>80</v>
      </c>
      <c r="B2" s="37"/>
      <c r="C2" s="37"/>
      <c r="D2" s="37"/>
      <c r="E2" s="37"/>
    </row>
    <row r="4" spans="1:5" ht="15" customHeight="1" x14ac:dyDescent="0.3">
      <c r="A4" s="6" t="s">
        <v>28</v>
      </c>
      <c r="B4" s="6" t="s">
        <v>81</v>
      </c>
      <c r="C4" s="6" t="s">
        <v>82</v>
      </c>
      <c r="D4" s="6" t="s">
        <v>83</v>
      </c>
      <c r="E4" s="6" t="s">
        <v>84</v>
      </c>
    </row>
    <row r="5" spans="1:5" ht="23.85" customHeight="1" x14ac:dyDescent="0.3">
      <c r="A5" s="7">
        <v>1</v>
      </c>
      <c r="B5" s="7" t="s">
        <v>85</v>
      </c>
      <c r="C5" s="7" t="s">
        <v>86</v>
      </c>
      <c r="D5" s="7" t="s">
        <v>87</v>
      </c>
      <c r="E5" s="7" t="s">
        <v>88</v>
      </c>
    </row>
    <row r="6" spans="1:5" ht="23.85" customHeight="1" x14ac:dyDescent="0.3">
      <c r="A6" s="7">
        <v>2</v>
      </c>
      <c r="B6" s="7" t="s">
        <v>89</v>
      </c>
      <c r="C6" s="7" t="s">
        <v>90</v>
      </c>
      <c r="D6" s="7" t="s">
        <v>91</v>
      </c>
      <c r="E6" s="7" t="s">
        <v>92</v>
      </c>
    </row>
    <row r="7" spans="1:5" ht="23.85" customHeight="1" x14ac:dyDescent="0.3">
      <c r="A7" s="7">
        <v>3</v>
      </c>
      <c r="B7" s="7" t="s">
        <v>93</v>
      </c>
      <c r="C7" s="7" t="s">
        <v>94</v>
      </c>
      <c r="D7" s="7" t="s">
        <v>95</v>
      </c>
      <c r="E7" s="7" t="s">
        <v>96</v>
      </c>
    </row>
    <row r="8" spans="1:5" ht="46.2" customHeight="1" x14ac:dyDescent="0.3">
      <c r="A8" s="7">
        <v>4</v>
      </c>
      <c r="B8" s="7" t="s">
        <v>97</v>
      </c>
      <c r="C8" s="7" t="s">
        <v>98</v>
      </c>
      <c r="D8" s="7" t="s">
        <v>99</v>
      </c>
      <c r="E8" s="7" t="s">
        <v>100</v>
      </c>
    </row>
    <row r="9" spans="1:5" ht="23.85" customHeight="1" x14ac:dyDescent="0.3">
      <c r="A9" s="7">
        <v>5</v>
      </c>
      <c r="B9" s="7" t="s">
        <v>101</v>
      </c>
      <c r="C9" s="7" t="s">
        <v>102</v>
      </c>
      <c r="D9" s="7" t="s">
        <v>103</v>
      </c>
      <c r="E9" s="7" t="s">
        <v>104</v>
      </c>
    </row>
    <row r="10" spans="1:5" ht="35.1" customHeight="1" x14ac:dyDescent="0.3">
      <c r="A10" s="7">
        <v>6</v>
      </c>
      <c r="B10" s="7" t="s">
        <v>105</v>
      </c>
      <c r="C10" s="7" t="s">
        <v>106</v>
      </c>
      <c r="D10" s="7" t="s">
        <v>107</v>
      </c>
      <c r="E10" s="7" t="s">
        <v>108</v>
      </c>
    </row>
    <row r="11" spans="1:5" ht="23.85" customHeight="1" x14ac:dyDescent="0.3">
      <c r="A11" s="7">
        <v>7</v>
      </c>
      <c r="B11" s="7" t="s">
        <v>109</v>
      </c>
      <c r="C11" s="7" t="s">
        <v>110</v>
      </c>
      <c r="D11" s="7" t="s">
        <v>111</v>
      </c>
      <c r="E11" s="7" t="s">
        <v>112</v>
      </c>
    </row>
    <row r="12" spans="1:5" ht="23.85" customHeight="1" x14ac:dyDescent="0.3">
      <c r="A12" s="7">
        <v>8</v>
      </c>
      <c r="B12" s="7" t="s">
        <v>113</v>
      </c>
      <c r="C12" s="7" t="s">
        <v>114</v>
      </c>
      <c r="D12" s="7" t="s">
        <v>115</v>
      </c>
      <c r="E12" s="7" t="s">
        <v>116</v>
      </c>
    </row>
    <row r="13" spans="1:5" ht="35.1" customHeight="1" x14ac:dyDescent="0.3">
      <c r="A13" s="7">
        <v>9</v>
      </c>
      <c r="B13" s="7" t="s">
        <v>117</v>
      </c>
      <c r="C13" s="7" t="s">
        <v>118</v>
      </c>
      <c r="D13" s="7" t="s">
        <v>119</v>
      </c>
      <c r="E13" s="7" t="s">
        <v>120</v>
      </c>
    </row>
    <row r="14" spans="1:5" ht="23.85" customHeight="1" x14ac:dyDescent="0.3">
      <c r="A14" s="7">
        <v>10</v>
      </c>
      <c r="B14" s="7" t="s">
        <v>121</v>
      </c>
      <c r="C14" s="7" t="s">
        <v>122</v>
      </c>
      <c r="D14" s="7" t="s">
        <v>123</v>
      </c>
      <c r="E14" s="7" t="s">
        <v>124</v>
      </c>
    </row>
    <row r="15" spans="1:5" ht="23.85" customHeight="1" x14ac:dyDescent="0.3">
      <c r="A15" s="7">
        <v>11</v>
      </c>
      <c r="B15" s="7" t="s">
        <v>125</v>
      </c>
      <c r="C15" s="7" t="s">
        <v>126</v>
      </c>
      <c r="D15" s="7" t="s">
        <v>127</v>
      </c>
      <c r="E15" s="7" t="s">
        <v>128</v>
      </c>
    </row>
    <row r="16" spans="1:5" ht="23.85" customHeight="1" x14ac:dyDescent="0.3">
      <c r="A16" s="7">
        <v>12</v>
      </c>
      <c r="B16" s="7" t="s">
        <v>129</v>
      </c>
      <c r="C16" s="7" t="s">
        <v>130</v>
      </c>
      <c r="D16" s="7" t="s">
        <v>131</v>
      </c>
      <c r="E16" s="7" t="s">
        <v>132</v>
      </c>
    </row>
    <row r="17" spans="1:5" ht="23.85" customHeight="1" x14ac:dyDescent="0.3">
      <c r="A17" s="7">
        <v>13</v>
      </c>
      <c r="B17" s="7" t="s">
        <v>133</v>
      </c>
      <c r="C17" s="7" t="s">
        <v>134</v>
      </c>
      <c r="D17" s="7" t="s">
        <v>135</v>
      </c>
      <c r="E17" s="7" t="s">
        <v>136</v>
      </c>
    </row>
    <row r="18" spans="1:5" ht="23.85" customHeight="1" x14ac:dyDescent="0.3">
      <c r="A18" s="7">
        <v>14</v>
      </c>
      <c r="B18" s="7" t="s">
        <v>137</v>
      </c>
      <c r="C18" s="7" t="s">
        <v>138</v>
      </c>
      <c r="D18" s="7" t="s">
        <v>139</v>
      </c>
      <c r="E18" s="7" t="s">
        <v>140</v>
      </c>
    </row>
    <row r="19" spans="1:5" ht="35.1" customHeight="1" x14ac:dyDescent="0.3">
      <c r="A19" s="7">
        <v>15</v>
      </c>
      <c r="B19" s="7" t="s">
        <v>141</v>
      </c>
      <c r="C19" s="7" t="s">
        <v>142</v>
      </c>
      <c r="D19" s="7" t="s">
        <v>143</v>
      </c>
      <c r="E19" s="7" t="s">
        <v>144</v>
      </c>
    </row>
    <row r="20" spans="1:5" ht="46.2" customHeight="1" x14ac:dyDescent="0.3">
      <c r="A20" s="7">
        <v>16</v>
      </c>
      <c r="B20" s="7" t="s">
        <v>145</v>
      </c>
      <c r="C20" s="7" t="s">
        <v>146</v>
      </c>
      <c r="D20" s="7" t="s">
        <v>147</v>
      </c>
      <c r="E20" s="7" t="s">
        <v>148</v>
      </c>
    </row>
    <row r="21" spans="1:5" ht="46.2" customHeight="1" x14ac:dyDescent="0.3">
      <c r="A21" s="7">
        <v>17</v>
      </c>
      <c r="B21" s="7" t="s">
        <v>149</v>
      </c>
      <c r="C21" s="7" t="s">
        <v>150</v>
      </c>
      <c r="D21" s="7" t="s">
        <v>151</v>
      </c>
      <c r="E21" s="7" t="s">
        <v>152</v>
      </c>
    </row>
    <row r="22" spans="1:5" ht="92.4" x14ac:dyDescent="0.3">
      <c r="A22" s="7">
        <v>18</v>
      </c>
      <c r="B22" s="7" t="s">
        <v>153</v>
      </c>
      <c r="C22" s="7" t="s">
        <v>154</v>
      </c>
      <c r="D22" s="7" t="s">
        <v>155</v>
      </c>
      <c r="E22" s="7" t="s">
        <v>156</v>
      </c>
    </row>
  </sheetData>
  <autoFilter ref="A4:E21" xr:uid="{00000000-0009-0000-0000-000003000000}"/>
  <mergeCells count="2">
    <mergeCell ref="A2:E2"/>
    <mergeCell ref="A1:E1"/>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080B3-E401-4650-93D1-BBEF2C925016}">
  <dimension ref="A1:H50"/>
  <sheetViews>
    <sheetView tabSelected="1" workbookViewId="0">
      <selection activeCell="F1" sqref="F1:F1048576"/>
    </sheetView>
  </sheetViews>
  <sheetFormatPr defaultRowHeight="21" x14ac:dyDescent="0.3"/>
  <cols>
    <col min="1" max="1" width="8.88671875" style="27"/>
    <col min="2" max="2" width="65.109375" style="25" customWidth="1"/>
    <col min="3" max="3" width="30.88671875" style="27" customWidth="1"/>
    <col min="4" max="4" width="15.5546875" style="27" customWidth="1"/>
    <col min="5" max="5" width="29.6640625" style="27" customWidth="1"/>
    <col min="6" max="6" width="8.88671875" style="28"/>
    <col min="7" max="7" width="8.88671875" style="27"/>
    <col min="8" max="8" width="8.88671875" style="28"/>
    <col min="9" max="16384" width="8.88671875" style="27"/>
  </cols>
  <sheetData>
    <row r="1" spans="1:5" x14ac:dyDescent="0.3">
      <c r="A1" s="27" t="s">
        <v>28</v>
      </c>
      <c r="B1" s="25" t="s">
        <v>160</v>
      </c>
      <c r="C1" s="27" t="s">
        <v>161</v>
      </c>
      <c r="D1" s="27" t="s">
        <v>189</v>
      </c>
      <c r="E1" s="27" t="s">
        <v>58</v>
      </c>
    </row>
    <row r="2" spans="1:5" x14ac:dyDescent="0.3">
      <c r="A2" s="29">
        <v>1</v>
      </c>
      <c r="B2" s="25" t="s">
        <v>190</v>
      </c>
      <c r="C2" s="27" t="s">
        <v>191</v>
      </c>
      <c r="D2" s="27" t="s">
        <v>195</v>
      </c>
    </row>
    <row r="3" spans="1:5" x14ac:dyDescent="0.3">
      <c r="A3" s="29">
        <v>2</v>
      </c>
      <c r="B3" s="25" t="s">
        <v>192</v>
      </c>
      <c r="C3" s="27" t="s">
        <v>193</v>
      </c>
      <c r="D3" s="27" t="s">
        <v>196</v>
      </c>
    </row>
    <row r="4" spans="1:5" ht="28.8" x14ac:dyDescent="0.3">
      <c r="A4" s="29">
        <v>3</v>
      </c>
      <c r="B4" s="26" t="s">
        <v>372</v>
      </c>
      <c r="C4" s="27" t="s">
        <v>379</v>
      </c>
      <c r="D4" s="27" t="s">
        <v>194</v>
      </c>
      <c r="E4" s="27" t="s">
        <v>157</v>
      </c>
    </row>
    <row r="5" spans="1:5" x14ac:dyDescent="0.3">
      <c r="A5" s="29">
        <v>4</v>
      </c>
      <c r="B5" s="25" t="s">
        <v>162</v>
      </c>
      <c r="C5" s="27" t="s">
        <v>197</v>
      </c>
      <c r="D5" s="27" t="s">
        <v>194</v>
      </c>
      <c r="E5" s="27" t="s">
        <v>157</v>
      </c>
    </row>
    <row r="6" spans="1:5" x14ac:dyDescent="0.3">
      <c r="A6" s="29">
        <v>5</v>
      </c>
      <c r="B6" s="25" t="s">
        <v>444</v>
      </c>
      <c r="C6" s="27" t="s">
        <v>198</v>
      </c>
      <c r="D6" s="27" t="s">
        <v>194</v>
      </c>
      <c r="E6" s="27" t="s">
        <v>157</v>
      </c>
    </row>
    <row r="7" spans="1:5" x14ac:dyDescent="0.3">
      <c r="A7" s="29">
        <v>6</v>
      </c>
      <c r="B7" s="25" t="s">
        <v>163</v>
      </c>
      <c r="C7" s="27" t="s">
        <v>199</v>
      </c>
      <c r="D7" s="27" t="s">
        <v>194</v>
      </c>
      <c r="E7" s="27" t="s">
        <v>157</v>
      </c>
    </row>
    <row r="8" spans="1:5" x14ac:dyDescent="0.3">
      <c r="A8" s="29">
        <v>7</v>
      </c>
      <c r="B8" s="25" t="s">
        <v>164</v>
      </c>
      <c r="C8" s="27" t="s">
        <v>200</v>
      </c>
      <c r="D8" s="27" t="s">
        <v>194</v>
      </c>
      <c r="E8" s="27" t="s">
        <v>157</v>
      </c>
    </row>
    <row r="9" spans="1:5" x14ac:dyDescent="0.3">
      <c r="A9" s="29">
        <v>8</v>
      </c>
      <c r="B9" s="25" t="s">
        <v>165</v>
      </c>
      <c r="C9" s="27" t="s">
        <v>201</v>
      </c>
      <c r="D9" s="27" t="s">
        <v>194</v>
      </c>
      <c r="E9" s="27" t="s">
        <v>157</v>
      </c>
    </row>
    <row r="10" spans="1:5" x14ac:dyDescent="0.3">
      <c r="A10" s="29">
        <v>9</v>
      </c>
      <c r="B10" s="25" t="s">
        <v>166</v>
      </c>
      <c r="C10" s="27" t="s">
        <v>202</v>
      </c>
      <c r="D10" s="27" t="s">
        <v>194</v>
      </c>
      <c r="E10" s="27" t="s">
        <v>157</v>
      </c>
    </row>
    <row r="11" spans="1:5" x14ac:dyDescent="0.3">
      <c r="A11" s="29">
        <v>10</v>
      </c>
      <c r="B11" s="25" t="s">
        <v>167</v>
      </c>
      <c r="C11" s="27" t="s">
        <v>203</v>
      </c>
      <c r="D11" s="27" t="s">
        <v>194</v>
      </c>
      <c r="E11" s="27" t="s">
        <v>157</v>
      </c>
    </row>
    <row r="12" spans="1:5" x14ac:dyDescent="0.3">
      <c r="A12" s="29">
        <v>11</v>
      </c>
      <c r="B12" s="25" t="s">
        <v>168</v>
      </c>
      <c r="C12" s="27" t="s">
        <v>204</v>
      </c>
      <c r="D12" s="27" t="s">
        <v>194</v>
      </c>
      <c r="E12" s="27" t="s">
        <v>157</v>
      </c>
    </row>
    <row r="13" spans="1:5" x14ac:dyDescent="0.3">
      <c r="A13" s="29">
        <v>12</v>
      </c>
      <c r="B13" s="25" t="s">
        <v>169</v>
      </c>
      <c r="C13" s="27" t="s">
        <v>205</v>
      </c>
      <c r="D13" s="27" t="s">
        <v>194</v>
      </c>
      <c r="E13" s="27" t="s">
        <v>157</v>
      </c>
    </row>
    <row r="14" spans="1:5" x14ac:dyDescent="0.3">
      <c r="A14" s="29">
        <v>13</v>
      </c>
      <c r="B14" s="25" t="s">
        <v>170</v>
      </c>
      <c r="C14" s="27" t="s">
        <v>206</v>
      </c>
      <c r="D14" s="27" t="s">
        <v>194</v>
      </c>
      <c r="E14" s="27" t="s">
        <v>157</v>
      </c>
    </row>
    <row r="15" spans="1:5" x14ac:dyDescent="0.3">
      <c r="A15" s="29">
        <v>14</v>
      </c>
      <c r="B15" s="25" t="s">
        <v>445</v>
      </c>
      <c r="C15" s="27" t="s">
        <v>373</v>
      </c>
      <c r="D15" s="27" t="s">
        <v>194</v>
      </c>
      <c r="E15" s="27" t="s">
        <v>157</v>
      </c>
    </row>
    <row r="16" spans="1:5" x14ac:dyDescent="0.3">
      <c r="A16" s="29">
        <v>15</v>
      </c>
      <c r="B16" s="25" t="s">
        <v>171</v>
      </c>
      <c r="C16" s="27" t="s">
        <v>207</v>
      </c>
      <c r="D16" s="27" t="s">
        <v>194</v>
      </c>
      <c r="E16" s="27" t="s">
        <v>157</v>
      </c>
    </row>
    <row r="17" spans="1:5" x14ac:dyDescent="0.3">
      <c r="A17" s="29">
        <v>16</v>
      </c>
      <c r="B17" s="25" t="s">
        <v>172</v>
      </c>
      <c r="C17" s="27" t="s">
        <v>208</v>
      </c>
      <c r="D17" s="27" t="s">
        <v>194</v>
      </c>
      <c r="E17" s="27" t="s">
        <v>157</v>
      </c>
    </row>
    <row r="18" spans="1:5" x14ac:dyDescent="0.3">
      <c r="A18" s="29">
        <v>17</v>
      </c>
      <c r="B18" s="25" t="s">
        <v>173</v>
      </c>
      <c r="C18" s="27" t="s">
        <v>209</v>
      </c>
      <c r="D18" s="27" t="s">
        <v>194</v>
      </c>
      <c r="E18" s="27" t="s">
        <v>157</v>
      </c>
    </row>
    <row r="19" spans="1:5" x14ac:dyDescent="0.3">
      <c r="A19" s="29">
        <v>18</v>
      </c>
      <c r="B19" s="25" t="s">
        <v>174</v>
      </c>
      <c r="C19" s="27" t="s">
        <v>210</v>
      </c>
      <c r="D19" s="27" t="s">
        <v>194</v>
      </c>
      <c r="E19" s="27" t="s">
        <v>157</v>
      </c>
    </row>
    <row r="20" spans="1:5" x14ac:dyDescent="0.3">
      <c r="A20" s="29">
        <v>19</v>
      </c>
      <c r="B20" s="25" t="s">
        <v>250</v>
      </c>
      <c r="C20" s="27" t="s">
        <v>211</v>
      </c>
      <c r="D20" s="27" t="s">
        <v>194</v>
      </c>
      <c r="E20" s="27" t="s">
        <v>157</v>
      </c>
    </row>
    <row r="21" spans="1:5" x14ac:dyDescent="0.3">
      <c r="A21" s="29">
        <v>20</v>
      </c>
      <c r="B21" s="25" t="s">
        <v>175</v>
      </c>
      <c r="C21" s="27" t="s">
        <v>212</v>
      </c>
      <c r="D21" s="27" t="s">
        <v>194</v>
      </c>
      <c r="E21" s="27" t="s">
        <v>157</v>
      </c>
    </row>
    <row r="22" spans="1:5" x14ac:dyDescent="0.3">
      <c r="A22" s="29">
        <v>21</v>
      </c>
      <c r="B22" s="25" t="s">
        <v>176</v>
      </c>
      <c r="C22" s="27" t="s">
        <v>213</v>
      </c>
      <c r="D22" s="27" t="s">
        <v>194</v>
      </c>
      <c r="E22" s="27" t="s">
        <v>157</v>
      </c>
    </row>
    <row r="23" spans="1:5" x14ac:dyDescent="0.3">
      <c r="A23" s="29">
        <v>22</v>
      </c>
      <c r="B23" s="25" t="s">
        <v>244</v>
      </c>
      <c r="C23" s="27" t="s">
        <v>374</v>
      </c>
      <c r="D23" s="27" t="s">
        <v>194</v>
      </c>
      <c r="E23" s="27" t="s">
        <v>157</v>
      </c>
    </row>
    <row r="24" spans="1:5" x14ac:dyDescent="0.3">
      <c r="A24" s="29">
        <v>23</v>
      </c>
      <c r="B24" s="25" t="s">
        <v>248</v>
      </c>
      <c r="C24" s="27" t="s">
        <v>375</v>
      </c>
      <c r="D24" s="27" t="s">
        <v>194</v>
      </c>
      <c r="E24" s="27" t="s">
        <v>157</v>
      </c>
    </row>
    <row r="25" spans="1:5" x14ac:dyDescent="0.3">
      <c r="A25" s="29">
        <v>24</v>
      </c>
      <c r="B25" s="31" t="s">
        <v>246</v>
      </c>
      <c r="C25" s="27" t="s">
        <v>394</v>
      </c>
      <c r="D25" s="27" t="s">
        <v>194</v>
      </c>
      <c r="E25" s="27" t="s">
        <v>157</v>
      </c>
    </row>
    <row r="26" spans="1:5" x14ac:dyDescent="0.3">
      <c r="A26" s="29">
        <v>25</v>
      </c>
      <c r="B26" s="25" t="s">
        <v>446</v>
      </c>
      <c r="C26" s="27" t="s">
        <v>214</v>
      </c>
      <c r="D26" s="27" t="s">
        <v>194</v>
      </c>
      <c r="E26" s="27" t="s">
        <v>158</v>
      </c>
    </row>
    <row r="27" spans="1:5" ht="43.2" x14ac:dyDescent="0.3">
      <c r="A27" s="29">
        <v>26</v>
      </c>
      <c r="B27" s="30" t="s">
        <v>377</v>
      </c>
      <c r="C27" s="27" t="s">
        <v>380</v>
      </c>
      <c r="D27" s="27" t="s">
        <v>194</v>
      </c>
      <c r="E27" s="27" t="s">
        <v>158</v>
      </c>
    </row>
    <row r="28" spans="1:5" x14ac:dyDescent="0.3">
      <c r="A28" s="29">
        <v>27</v>
      </c>
      <c r="B28" s="25" t="s">
        <v>177</v>
      </c>
      <c r="C28" s="27" t="s">
        <v>215</v>
      </c>
      <c r="D28" s="27" t="s">
        <v>194</v>
      </c>
      <c r="E28" s="27" t="s">
        <v>158</v>
      </c>
    </row>
    <row r="29" spans="1:5" ht="28.8" x14ac:dyDescent="0.3">
      <c r="A29" s="29">
        <v>28</v>
      </c>
      <c r="B29" s="26" t="s">
        <v>376</v>
      </c>
      <c r="C29" s="27" t="s">
        <v>381</v>
      </c>
      <c r="D29" s="27" t="s">
        <v>194</v>
      </c>
      <c r="E29" s="27" t="s">
        <v>158</v>
      </c>
    </row>
    <row r="30" spans="1:5" x14ac:dyDescent="0.3">
      <c r="A30" s="29">
        <v>29</v>
      </c>
      <c r="B30" s="25" t="s">
        <v>179</v>
      </c>
      <c r="C30" s="27" t="s">
        <v>218</v>
      </c>
      <c r="D30" s="27" t="s">
        <v>194</v>
      </c>
      <c r="E30" s="27" t="s">
        <v>158</v>
      </c>
    </row>
    <row r="31" spans="1:5" x14ac:dyDescent="0.3">
      <c r="A31" s="29">
        <v>30</v>
      </c>
      <c r="B31" s="25" t="s">
        <v>395</v>
      </c>
      <c r="C31" s="27" t="s">
        <v>396</v>
      </c>
      <c r="D31" s="27" t="s">
        <v>194</v>
      </c>
      <c r="E31" s="27" t="s">
        <v>158</v>
      </c>
    </row>
    <row r="32" spans="1:5" ht="28.8" x14ac:dyDescent="0.3">
      <c r="A32" s="29">
        <v>31</v>
      </c>
      <c r="B32" s="25" t="s">
        <v>385</v>
      </c>
      <c r="C32" s="27" t="s">
        <v>217</v>
      </c>
      <c r="D32" s="27" t="s">
        <v>194</v>
      </c>
      <c r="E32" s="27" t="s">
        <v>388</v>
      </c>
    </row>
    <row r="33" spans="1:5" x14ac:dyDescent="0.3">
      <c r="A33" s="29">
        <v>32</v>
      </c>
      <c r="B33" s="25" t="s">
        <v>178</v>
      </c>
      <c r="C33" s="27" t="s">
        <v>216</v>
      </c>
      <c r="D33" s="27" t="s">
        <v>194</v>
      </c>
      <c r="E33" s="27" t="s">
        <v>388</v>
      </c>
    </row>
    <row r="34" spans="1:5" x14ac:dyDescent="0.3">
      <c r="A34" s="29">
        <v>33</v>
      </c>
      <c r="B34" s="25" t="s">
        <v>180</v>
      </c>
      <c r="C34" s="27" t="s">
        <v>219</v>
      </c>
      <c r="D34" s="27" t="s">
        <v>194</v>
      </c>
      <c r="E34" s="27" t="s">
        <v>388</v>
      </c>
    </row>
    <row r="35" spans="1:5" ht="28.8" x14ac:dyDescent="0.3">
      <c r="A35" s="29">
        <v>34</v>
      </c>
      <c r="B35" s="25" t="s">
        <v>386</v>
      </c>
      <c r="C35" s="27" t="s">
        <v>220</v>
      </c>
      <c r="D35" s="27" t="s">
        <v>194</v>
      </c>
      <c r="E35" s="27" t="s">
        <v>388</v>
      </c>
    </row>
    <row r="36" spans="1:5" x14ac:dyDescent="0.3">
      <c r="A36" s="29">
        <v>35</v>
      </c>
      <c r="B36" s="25" t="s">
        <v>181</v>
      </c>
      <c r="C36" s="27" t="s">
        <v>221</v>
      </c>
      <c r="D36" s="27" t="s">
        <v>194</v>
      </c>
      <c r="E36" s="27" t="s">
        <v>388</v>
      </c>
    </row>
    <row r="37" spans="1:5" x14ac:dyDescent="0.3">
      <c r="A37" s="29">
        <v>36</v>
      </c>
      <c r="B37" s="25" t="s">
        <v>182</v>
      </c>
      <c r="C37" s="27" t="s">
        <v>222</v>
      </c>
      <c r="D37" s="27" t="s">
        <v>194</v>
      </c>
      <c r="E37" s="27" t="s">
        <v>388</v>
      </c>
    </row>
    <row r="38" spans="1:5" x14ac:dyDescent="0.3">
      <c r="A38" s="29">
        <v>37</v>
      </c>
      <c r="B38" s="25" t="s">
        <v>447</v>
      </c>
      <c r="C38" s="27" t="s">
        <v>223</v>
      </c>
      <c r="D38" s="27" t="s">
        <v>194</v>
      </c>
      <c r="E38" s="27" t="s">
        <v>388</v>
      </c>
    </row>
    <row r="39" spans="1:5" x14ac:dyDescent="0.3">
      <c r="A39" s="29">
        <v>38</v>
      </c>
      <c r="B39" s="25" t="s">
        <v>183</v>
      </c>
      <c r="C39" s="27" t="s">
        <v>224</v>
      </c>
      <c r="D39" s="27" t="s">
        <v>194</v>
      </c>
      <c r="E39" s="27" t="s">
        <v>388</v>
      </c>
    </row>
    <row r="40" spans="1:5" x14ac:dyDescent="0.3">
      <c r="A40" s="29">
        <v>39</v>
      </c>
      <c r="B40" s="25" t="s">
        <v>184</v>
      </c>
      <c r="C40" s="27" t="s">
        <v>225</v>
      </c>
      <c r="D40" s="27" t="s">
        <v>194</v>
      </c>
      <c r="E40" s="27" t="s">
        <v>388</v>
      </c>
    </row>
    <row r="41" spans="1:5" x14ac:dyDescent="0.3">
      <c r="A41" s="29">
        <v>40</v>
      </c>
      <c r="B41" s="25" t="s">
        <v>185</v>
      </c>
      <c r="C41" s="27" t="s">
        <v>226</v>
      </c>
      <c r="D41" s="27" t="s">
        <v>194</v>
      </c>
      <c r="E41" s="27" t="s">
        <v>388</v>
      </c>
    </row>
    <row r="42" spans="1:5" x14ac:dyDescent="0.3">
      <c r="A42" s="29">
        <v>41</v>
      </c>
      <c r="B42" s="25" t="s">
        <v>448</v>
      </c>
      <c r="C42" s="27" t="s">
        <v>227</v>
      </c>
      <c r="D42" s="27" t="s">
        <v>194</v>
      </c>
      <c r="E42" s="27" t="s">
        <v>388</v>
      </c>
    </row>
    <row r="43" spans="1:5" x14ac:dyDescent="0.3">
      <c r="A43" s="29">
        <v>42</v>
      </c>
      <c r="B43" s="25" t="s">
        <v>186</v>
      </c>
      <c r="C43" s="27" t="s">
        <v>228</v>
      </c>
      <c r="D43" s="27" t="s">
        <v>194</v>
      </c>
      <c r="E43" s="27" t="s">
        <v>388</v>
      </c>
    </row>
    <row r="44" spans="1:5" x14ac:dyDescent="0.3">
      <c r="A44" s="29">
        <v>43</v>
      </c>
      <c r="B44" s="25" t="s">
        <v>187</v>
      </c>
      <c r="C44" s="27" t="s">
        <v>229</v>
      </c>
      <c r="D44" s="27" t="s">
        <v>194</v>
      </c>
      <c r="E44" s="27" t="s">
        <v>388</v>
      </c>
    </row>
    <row r="45" spans="1:5" x14ac:dyDescent="0.3">
      <c r="A45" s="29">
        <v>44</v>
      </c>
      <c r="B45" s="31" t="s">
        <v>383</v>
      </c>
      <c r="C45" s="27" t="s">
        <v>389</v>
      </c>
      <c r="D45" s="27" t="s">
        <v>194</v>
      </c>
      <c r="E45" s="27" t="s">
        <v>388</v>
      </c>
    </row>
    <row r="46" spans="1:5" x14ac:dyDescent="0.3">
      <c r="A46" s="29">
        <v>45</v>
      </c>
      <c r="B46" s="25" t="s">
        <v>188</v>
      </c>
      <c r="C46" s="27" t="s">
        <v>230</v>
      </c>
      <c r="D46" s="27" t="s">
        <v>194</v>
      </c>
      <c r="E46" s="27" t="s">
        <v>388</v>
      </c>
    </row>
    <row r="47" spans="1:5" ht="31.2" x14ac:dyDescent="0.3">
      <c r="A47" s="29">
        <v>46</v>
      </c>
      <c r="B47" s="32" t="s">
        <v>334</v>
      </c>
      <c r="C47" s="27" t="s">
        <v>390</v>
      </c>
      <c r="D47" s="27" t="s">
        <v>194</v>
      </c>
      <c r="E47" s="27" t="s">
        <v>388</v>
      </c>
    </row>
    <row r="48" spans="1:5" x14ac:dyDescent="0.3">
      <c r="A48" s="29">
        <v>47</v>
      </c>
      <c r="B48" s="31" t="s">
        <v>264</v>
      </c>
      <c r="C48" s="27" t="s">
        <v>391</v>
      </c>
      <c r="D48" s="27" t="s">
        <v>194</v>
      </c>
      <c r="E48" s="27" t="s">
        <v>388</v>
      </c>
    </row>
    <row r="49" spans="1:5" x14ac:dyDescent="0.3">
      <c r="A49" s="29">
        <v>48</v>
      </c>
      <c r="B49" s="31" t="s">
        <v>384</v>
      </c>
      <c r="C49" s="27" t="s">
        <v>392</v>
      </c>
      <c r="D49" s="27" t="s">
        <v>194</v>
      </c>
      <c r="E49" s="27" t="s">
        <v>388</v>
      </c>
    </row>
    <row r="50" spans="1:5" x14ac:dyDescent="0.3">
      <c r="A50" s="29">
        <v>49</v>
      </c>
      <c r="B50" s="31" t="s">
        <v>387</v>
      </c>
      <c r="C50" s="27" t="s">
        <v>393</v>
      </c>
      <c r="D50" s="27" t="s">
        <v>194</v>
      </c>
      <c r="E50" s="27" t="s">
        <v>388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4BA0F-CE14-4985-BAB4-71CCD9FA9D83}">
  <dimension ref="A1:H162"/>
  <sheetViews>
    <sheetView workbookViewId="0">
      <pane xSplit="1" ySplit="1" topLeftCell="B159" activePane="bottomRight" state="frozen"/>
      <selection pane="topRight" activeCell="B1" sqref="B1"/>
      <selection pane="bottomLeft" activeCell="A2" sqref="A2"/>
      <selection pane="bottomRight" activeCell="C168" sqref="C168"/>
    </sheetView>
  </sheetViews>
  <sheetFormatPr defaultRowHeight="23.4" x14ac:dyDescent="0.3"/>
  <cols>
    <col min="1" max="1" width="9.44140625" style="33" customWidth="1"/>
    <col min="2" max="2" width="80.33203125" style="25" customWidth="1"/>
    <col min="3" max="3" width="40.33203125" style="25" customWidth="1"/>
    <col min="4" max="4" width="45.77734375" style="25" customWidth="1"/>
    <col min="5" max="5" width="23.88671875" style="25" customWidth="1"/>
    <col min="6" max="6" width="29.6640625" style="27" bestFit="1" customWidth="1"/>
    <col min="7" max="7" width="8.88671875" style="27"/>
    <col min="8" max="8" width="8.88671875" style="28"/>
    <col min="9" max="16384" width="8.88671875" style="27"/>
  </cols>
  <sheetData>
    <row r="1" spans="1:6" ht="21" x14ac:dyDescent="0.3">
      <c r="A1" s="35" t="s">
        <v>28</v>
      </c>
      <c r="B1" s="25" t="s">
        <v>29</v>
      </c>
      <c r="C1" s="25" t="s">
        <v>431</v>
      </c>
      <c r="D1" s="25" t="s">
        <v>397</v>
      </c>
      <c r="E1" s="25" t="s">
        <v>415</v>
      </c>
      <c r="F1" s="27" t="s">
        <v>398</v>
      </c>
    </row>
    <row r="2" spans="1:6" ht="43.2" x14ac:dyDescent="0.3">
      <c r="A2" s="34">
        <v>1</v>
      </c>
      <c r="B2" s="25" t="s">
        <v>399</v>
      </c>
      <c r="D2" s="25" t="s">
        <v>372</v>
      </c>
      <c r="E2" s="25" t="s">
        <v>422</v>
      </c>
      <c r="F2" s="27" t="s">
        <v>157</v>
      </c>
    </row>
    <row r="3" spans="1:6" ht="72" x14ac:dyDescent="0.3">
      <c r="A3" s="34">
        <v>2</v>
      </c>
      <c r="B3" s="25" t="s">
        <v>437</v>
      </c>
      <c r="C3" s="25" t="s">
        <v>400</v>
      </c>
      <c r="D3" s="25" t="s">
        <v>372</v>
      </c>
      <c r="E3" s="25" t="s">
        <v>422</v>
      </c>
      <c r="F3" s="27" t="s">
        <v>157</v>
      </c>
    </row>
    <row r="4" spans="1:6" ht="43.2" x14ac:dyDescent="0.3">
      <c r="A4" s="34"/>
      <c r="B4" s="25" t="s">
        <v>437</v>
      </c>
      <c r="C4" s="25" t="s">
        <v>436</v>
      </c>
      <c r="E4" s="25" t="s">
        <v>443</v>
      </c>
    </row>
    <row r="5" spans="1:6" ht="100.8" x14ac:dyDescent="0.3">
      <c r="A5" s="34">
        <v>3</v>
      </c>
      <c r="B5" s="26" t="s">
        <v>435</v>
      </c>
      <c r="C5" s="25" t="s">
        <v>273</v>
      </c>
      <c r="D5" s="25" t="s">
        <v>372</v>
      </c>
      <c r="E5" s="25" t="s">
        <v>422</v>
      </c>
      <c r="F5" s="27" t="s">
        <v>426</v>
      </c>
    </row>
    <row r="6" spans="1:6" ht="100.8" x14ac:dyDescent="0.3">
      <c r="A6" s="34">
        <v>4</v>
      </c>
      <c r="B6" s="26" t="s">
        <v>435</v>
      </c>
      <c r="C6" s="25" t="s">
        <v>274</v>
      </c>
      <c r="D6" s="25" t="s">
        <v>372</v>
      </c>
      <c r="E6" s="25" t="s">
        <v>422</v>
      </c>
      <c r="F6" s="27" t="s">
        <v>427</v>
      </c>
    </row>
    <row r="7" spans="1:6" ht="43.2" x14ac:dyDescent="0.3">
      <c r="A7" s="34">
        <v>5</v>
      </c>
      <c r="B7" s="25" t="s">
        <v>275</v>
      </c>
      <c r="D7" s="25" t="s">
        <v>372</v>
      </c>
      <c r="E7" s="25" t="s">
        <v>443</v>
      </c>
      <c r="F7" s="27" t="s">
        <v>157</v>
      </c>
    </row>
    <row r="8" spans="1:6" ht="43.2" x14ac:dyDescent="0.3">
      <c r="A8" s="34">
        <v>6</v>
      </c>
      <c r="B8" s="25" t="s">
        <v>276</v>
      </c>
      <c r="D8" s="25" t="s">
        <v>372</v>
      </c>
      <c r="E8" s="25" t="s">
        <v>443</v>
      </c>
      <c r="F8" s="27" t="s">
        <v>157</v>
      </c>
    </row>
    <row r="9" spans="1:6" ht="43.2" x14ac:dyDescent="0.3">
      <c r="A9" s="34">
        <v>7</v>
      </c>
      <c r="B9" s="25" t="s">
        <v>277</v>
      </c>
      <c r="D9" s="25" t="s">
        <v>372</v>
      </c>
      <c r="E9" s="25" t="s">
        <v>443</v>
      </c>
      <c r="F9" s="27" t="s">
        <v>157</v>
      </c>
    </row>
    <row r="10" spans="1:6" ht="43.2" x14ac:dyDescent="0.3">
      <c r="A10" s="34">
        <v>8</v>
      </c>
      <c r="B10" s="25" t="s">
        <v>231</v>
      </c>
      <c r="D10" s="25" t="s">
        <v>372</v>
      </c>
      <c r="E10" s="25" t="s">
        <v>443</v>
      </c>
      <c r="F10" s="27" t="s">
        <v>157</v>
      </c>
    </row>
    <row r="11" spans="1:6" ht="43.2" x14ac:dyDescent="0.3">
      <c r="A11" s="34">
        <v>9</v>
      </c>
      <c r="B11" s="25" t="s">
        <v>278</v>
      </c>
      <c r="D11" s="25" t="s">
        <v>372</v>
      </c>
      <c r="E11" s="25" t="s">
        <v>443</v>
      </c>
      <c r="F11" s="27" t="s">
        <v>157</v>
      </c>
    </row>
    <row r="12" spans="1:6" ht="43.2" x14ac:dyDescent="0.3">
      <c r="A12" s="34">
        <v>10</v>
      </c>
      <c r="B12" s="25" t="s">
        <v>279</v>
      </c>
      <c r="D12" s="25" t="s">
        <v>372</v>
      </c>
      <c r="E12" s="25" t="s">
        <v>443</v>
      </c>
      <c r="F12" s="27" t="s">
        <v>157</v>
      </c>
    </row>
    <row r="13" spans="1:6" ht="43.2" x14ac:dyDescent="0.3">
      <c r="A13" s="34">
        <v>11</v>
      </c>
      <c r="B13" s="25" t="s">
        <v>280</v>
      </c>
      <c r="D13" s="25" t="s">
        <v>372</v>
      </c>
      <c r="E13" s="25" t="s">
        <v>443</v>
      </c>
      <c r="F13" s="27" t="s">
        <v>157</v>
      </c>
    </row>
    <row r="14" spans="1:6" ht="43.2" x14ac:dyDescent="0.3">
      <c r="A14" s="34">
        <v>12</v>
      </c>
      <c r="B14" s="25" t="s">
        <v>281</v>
      </c>
      <c r="D14" s="25" t="s">
        <v>372</v>
      </c>
      <c r="E14" s="25" t="s">
        <v>443</v>
      </c>
      <c r="F14" s="27" t="s">
        <v>157</v>
      </c>
    </row>
    <row r="15" spans="1:6" ht="43.2" x14ac:dyDescent="0.3">
      <c r="A15" s="34">
        <v>13</v>
      </c>
      <c r="B15" s="25" t="s">
        <v>282</v>
      </c>
      <c r="D15" s="25" t="s">
        <v>372</v>
      </c>
      <c r="E15" s="25" t="s">
        <v>443</v>
      </c>
      <c r="F15" s="27" t="s">
        <v>157</v>
      </c>
    </row>
    <row r="16" spans="1:6" ht="43.2" x14ac:dyDescent="0.3">
      <c r="A16" s="34">
        <v>14</v>
      </c>
      <c r="B16" s="25" t="s">
        <v>283</v>
      </c>
      <c r="D16" s="25" t="s">
        <v>372</v>
      </c>
      <c r="E16" s="25" t="s">
        <v>443</v>
      </c>
      <c r="F16" s="27" t="s">
        <v>157</v>
      </c>
    </row>
    <row r="17" spans="1:6" ht="43.2" x14ac:dyDescent="0.3">
      <c r="A17" s="34">
        <v>15</v>
      </c>
      <c r="B17" s="25" t="s">
        <v>232</v>
      </c>
      <c r="D17" s="25" t="s">
        <v>372</v>
      </c>
      <c r="E17" s="25" t="s">
        <v>443</v>
      </c>
      <c r="F17" s="27" t="s">
        <v>157</v>
      </c>
    </row>
    <row r="18" spans="1:6" ht="43.2" x14ac:dyDescent="0.3">
      <c r="A18" s="34">
        <v>16</v>
      </c>
      <c r="B18" s="25" t="s">
        <v>284</v>
      </c>
      <c r="D18" s="25" t="s">
        <v>372</v>
      </c>
      <c r="E18" s="25" t="s">
        <v>443</v>
      </c>
      <c r="F18" s="27" t="s">
        <v>157</v>
      </c>
    </row>
    <row r="19" spans="1:6" ht="43.2" x14ac:dyDescent="0.3">
      <c r="A19" s="34">
        <v>17</v>
      </c>
      <c r="B19" s="25" t="s">
        <v>285</v>
      </c>
      <c r="D19" s="25" t="s">
        <v>372</v>
      </c>
      <c r="E19" s="25" t="s">
        <v>422</v>
      </c>
      <c r="F19" s="27" t="s">
        <v>157</v>
      </c>
    </row>
    <row r="20" spans="1:6" ht="43.2" x14ac:dyDescent="0.3">
      <c r="A20" s="34">
        <v>18</v>
      </c>
      <c r="B20" s="25" t="s">
        <v>286</v>
      </c>
      <c r="D20" s="25" t="s">
        <v>372</v>
      </c>
      <c r="E20" s="25" t="s">
        <v>443</v>
      </c>
      <c r="F20" s="27" t="s">
        <v>157</v>
      </c>
    </row>
    <row r="21" spans="1:6" ht="43.2" x14ac:dyDescent="0.3">
      <c r="A21" s="34">
        <v>19</v>
      </c>
      <c r="B21" s="25" t="s">
        <v>287</v>
      </c>
      <c r="D21" s="25" t="s">
        <v>372</v>
      </c>
      <c r="E21" s="25" t="s">
        <v>443</v>
      </c>
      <c r="F21" s="27" t="s">
        <v>157</v>
      </c>
    </row>
    <row r="22" spans="1:6" ht="43.2" x14ac:dyDescent="0.3">
      <c r="A22" s="34">
        <v>20</v>
      </c>
      <c r="B22" s="25" t="s">
        <v>288</v>
      </c>
      <c r="D22" s="25" t="s">
        <v>372</v>
      </c>
      <c r="E22" s="25" t="s">
        <v>443</v>
      </c>
      <c r="F22" s="27" t="s">
        <v>157</v>
      </c>
    </row>
    <row r="23" spans="1:6" ht="21" x14ac:dyDescent="0.3">
      <c r="A23" s="34"/>
      <c r="B23" s="26" t="s">
        <v>428</v>
      </c>
      <c r="C23" s="26"/>
      <c r="D23" s="26" t="s">
        <v>192</v>
      </c>
      <c r="E23" s="25" t="s">
        <v>422</v>
      </c>
      <c r="F23" s="27" t="s">
        <v>421</v>
      </c>
    </row>
    <row r="24" spans="1:6" ht="28.8" x14ac:dyDescent="0.3">
      <c r="A24" s="34"/>
      <c r="B24" s="26" t="s">
        <v>429</v>
      </c>
      <c r="C24" s="26"/>
      <c r="D24" s="26" t="s">
        <v>192</v>
      </c>
      <c r="E24" s="25" t="s">
        <v>422</v>
      </c>
      <c r="F24" s="27" t="s">
        <v>421</v>
      </c>
    </row>
    <row r="25" spans="1:6" ht="28.8" x14ac:dyDescent="0.3">
      <c r="A25" s="34"/>
      <c r="B25" s="26" t="s">
        <v>430</v>
      </c>
      <c r="C25" s="26" t="s">
        <v>432</v>
      </c>
      <c r="D25" s="26" t="s">
        <v>192</v>
      </c>
      <c r="E25" s="25" t="s">
        <v>422</v>
      </c>
      <c r="F25" s="27" t="s">
        <v>421</v>
      </c>
    </row>
    <row r="26" spans="1:6" ht="28.8" x14ac:dyDescent="0.3">
      <c r="A26" s="34"/>
      <c r="B26" s="26" t="s">
        <v>430</v>
      </c>
      <c r="C26" s="26" t="s">
        <v>433</v>
      </c>
      <c r="D26" s="26" t="s">
        <v>192</v>
      </c>
      <c r="E26" s="25" t="s">
        <v>422</v>
      </c>
      <c r="F26" s="27" t="s">
        <v>421</v>
      </c>
    </row>
    <row r="27" spans="1:6" ht="21" x14ac:dyDescent="0.3">
      <c r="A27" s="34"/>
      <c r="B27" s="26" t="s">
        <v>430</v>
      </c>
      <c r="C27" s="26" t="s">
        <v>434</v>
      </c>
      <c r="D27" s="26" t="s">
        <v>192</v>
      </c>
      <c r="E27" s="25" t="s">
        <v>422</v>
      </c>
      <c r="F27" s="27" t="s">
        <v>421</v>
      </c>
    </row>
    <row r="28" spans="1:6" ht="21" x14ac:dyDescent="0.3">
      <c r="A28" s="34"/>
      <c r="B28" s="26" t="s">
        <v>438</v>
      </c>
      <c r="C28" s="26"/>
      <c r="D28" s="26" t="s">
        <v>192</v>
      </c>
      <c r="E28" s="25" t="s">
        <v>422</v>
      </c>
      <c r="F28" s="27" t="s">
        <v>421</v>
      </c>
    </row>
    <row r="29" spans="1:6" ht="21" x14ac:dyDescent="0.3">
      <c r="A29" s="34"/>
      <c r="B29" s="26" t="s">
        <v>439</v>
      </c>
      <c r="C29" s="26"/>
      <c r="D29" s="26" t="s">
        <v>192</v>
      </c>
      <c r="E29" s="25" t="s">
        <v>422</v>
      </c>
      <c r="F29" s="27" t="s">
        <v>421</v>
      </c>
    </row>
    <row r="30" spans="1:6" ht="28.8" x14ac:dyDescent="0.3">
      <c r="A30" s="34"/>
      <c r="B30" s="26" t="s">
        <v>440</v>
      </c>
      <c r="C30" s="26" t="s">
        <v>442</v>
      </c>
      <c r="D30" s="26" t="s">
        <v>192</v>
      </c>
      <c r="E30" s="25" t="s">
        <v>422</v>
      </c>
      <c r="F30" s="27" t="s">
        <v>421</v>
      </c>
    </row>
    <row r="31" spans="1:6" ht="28.8" x14ac:dyDescent="0.3">
      <c r="A31" s="34"/>
      <c r="B31" s="26" t="s">
        <v>440</v>
      </c>
      <c r="C31" s="26" t="s">
        <v>441</v>
      </c>
      <c r="D31" s="26" t="s">
        <v>192</v>
      </c>
      <c r="E31" s="25" t="s">
        <v>422</v>
      </c>
      <c r="F31" s="27" t="s">
        <v>421</v>
      </c>
    </row>
    <row r="32" spans="1:6" ht="28.8" x14ac:dyDescent="0.3">
      <c r="A32" s="34">
        <v>21</v>
      </c>
      <c r="B32" s="25" t="s">
        <v>289</v>
      </c>
      <c r="D32" s="25" t="s">
        <v>162</v>
      </c>
      <c r="E32" s="25" t="s">
        <v>422</v>
      </c>
      <c r="F32" s="27" t="s">
        <v>157</v>
      </c>
    </row>
    <row r="33" spans="1:6" ht="28.8" x14ac:dyDescent="0.3">
      <c r="A33" s="34">
        <v>22</v>
      </c>
      <c r="B33" s="25" t="s">
        <v>290</v>
      </c>
      <c r="D33" s="25" t="s">
        <v>371</v>
      </c>
      <c r="E33" s="25" t="s">
        <v>443</v>
      </c>
      <c r="F33" s="27" t="s">
        <v>157</v>
      </c>
    </row>
    <row r="34" spans="1:6" ht="28.8" x14ac:dyDescent="0.3">
      <c r="A34" s="34">
        <v>23</v>
      </c>
      <c r="B34" s="25" t="s">
        <v>291</v>
      </c>
      <c r="D34" s="25" t="s">
        <v>163</v>
      </c>
      <c r="E34" s="25" t="s">
        <v>443</v>
      </c>
      <c r="F34" s="27" t="s">
        <v>157</v>
      </c>
    </row>
    <row r="35" spans="1:6" ht="21" x14ac:dyDescent="0.3">
      <c r="A35" s="34">
        <v>24</v>
      </c>
      <c r="B35" s="25" t="s">
        <v>233</v>
      </c>
      <c r="D35" s="25" t="s">
        <v>163</v>
      </c>
      <c r="E35" s="25" t="s">
        <v>422</v>
      </c>
      <c r="F35" s="27" t="s">
        <v>157</v>
      </c>
    </row>
    <row r="36" spans="1:6" ht="28.8" x14ac:dyDescent="0.3">
      <c r="A36" s="34">
        <v>25</v>
      </c>
      <c r="B36" s="25" t="s">
        <v>292</v>
      </c>
      <c r="D36" s="25" t="s">
        <v>163</v>
      </c>
      <c r="E36" s="25" t="s">
        <v>443</v>
      </c>
      <c r="F36" s="27" t="s">
        <v>157</v>
      </c>
    </row>
    <row r="37" spans="1:6" ht="28.8" x14ac:dyDescent="0.3">
      <c r="A37" s="34">
        <v>26</v>
      </c>
      <c r="B37" s="25" t="s">
        <v>370</v>
      </c>
      <c r="D37" s="25" t="s">
        <v>164</v>
      </c>
      <c r="E37" s="25" t="s">
        <v>443</v>
      </c>
      <c r="F37" s="27" t="s">
        <v>157</v>
      </c>
    </row>
    <row r="38" spans="1:6" ht="21" x14ac:dyDescent="0.3">
      <c r="A38" s="34">
        <v>27</v>
      </c>
      <c r="B38" s="25" t="s">
        <v>234</v>
      </c>
      <c r="D38" s="25" t="s">
        <v>165</v>
      </c>
      <c r="E38" s="25" t="s">
        <v>443</v>
      </c>
      <c r="F38" s="27" t="s">
        <v>157</v>
      </c>
    </row>
    <row r="39" spans="1:6" ht="21" x14ac:dyDescent="0.3">
      <c r="A39" s="34">
        <v>28</v>
      </c>
      <c r="B39" s="25" t="s">
        <v>235</v>
      </c>
      <c r="D39" s="25" t="s">
        <v>165</v>
      </c>
      <c r="E39" s="25" t="s">
        <v>443</v>
      </c>
      <c r="F39" s="27" t="s">
        <v>157</v>
      </c>
    </row>
    <row r="40" spans="1:6" ht="21" x14ac:dyDescent="0.3">
      <c r="A40" s="34">
        <v>29</v>
      </c>
      <c r="B40" s="25" t="s">
        <v>236</v>
      </c>
      <c r="D40" s="25" t="s">
        <v>165</v>
      </c>
      <c r="E40" s="25" t="s">
        <v>443</v>
      </c>
      <c r="F40" s="27" t="s">
        <v>157</v>
      </c>
    </row>
    <row r="41" spans="1:6" ht="21" x14ac:dyDescent="0.3">
      <c r="A41" s="34">
        <v>30</v>
      </c>
      <c r="B41" s="25" t="s">
        <v>293</v>
      </c>
      <c r="D41" s="25" t="s">
        <v>166</v>
      </c>
      <c r="E41" s="25" t="s">
        <v>443</v>
      </c>
      <c r="F41" s="27" t="s">
        <v>157</v>
      </c>
    </row>
    <row r="42" spans="1:6" ht="21" x14ac:dyDescent="0.3">
      <c r="A42" s="34">
        <v>31</v>
      </c>
      <c r="B42" s="25" t="s">
        <v>294</v>
      </c>
      <c r="D42" s="25" t="s">
        <v>167</v>
      </c>
      <c r="E42" s="25" t="s">
        <v>443</v>
      </c>
      <c r="F42" s="27" t="s">
        <v>157</v>
      </c>
    </row>
    <row r="43" spans="1:6" ht="21" x14ac:dyDescent="0.3">
      <c r="A43" s="34">
        <v>32</v>
      </c>
      <c r="B43" s="25" t="s">
        <v>295</v>
      </c>
      <c r="D43" s="25" t="s">
        <v>168</v>
      </c>
      <c r="E43" s="25" t="s">
        <v>443</v>
      </c>
      <c r="F43" s="27" t="s">
        <v>157</v>
      </c>
    </row>
    <row r="44" spans="1:6" ht="21" x14ac:dyDescent="0.3">
      <c r="A44" s="34">
        <v>33</v>
      </c>
      <c r="B44" s="25" t="s">
        <v>296</v>
      </c>
      <c r="D44" s="25" t="s">
        <v>169</v>
      </c>
      <c r="E44" s="25" t="s">
        <v>443</v>
      </c>
      <c r="F44" s="27" t="s">
        <v>157</v>
      </c>
    </row>
    <row r="45" spans="1:6" ht="21" x14ac:dyDescent="0.3">
      <c r="A45" s="34">
        <v>34</v>
      </c>
      <c r="B45" s="25" t="s">
        <v>237</v>
      </c>
      <c r="D45" s="25" t="s">
        <v>170</v>
      </c>
      <c r="E45" s="25" t="s">
        <v>443</v>
      </c>
      <c r="F45" s="27" t="s">
        <v>157</v>
      </c>
    </row>
    <row r="46" spans="1:6" ht="43.2" x14ac:dyDescent="0.3">
      <c r="A46" s="34">
        <v>35</v>
      </c>
      <c r="B46" s="25" t="s">
        <v>297</v>
      </c>
      <c r="D46" s="25" t="s">
        <v>170</v>
      </c>
      <c r="E46" s="25" t="s">
        <v>422</v>
      </c>
      <c r="F46" s="27" t="s">
        <v>157</v>
      </c>
    </row>
    <row r="47" spans="1:6" ht="28.8" x14ac:dyDescent="0.3">
      <c r="A47" s="34">
        <v>36</v>
      </c>
      <c r="B47" s="25" t="s">
        <v>298</v>
      </c>
      <c r="D47" s="25" t="s">
        <v>170</v>
      </c>
      <c r="E47" s="25" t="s">
        <v>443</v>
      </c>
      <c r="F47" s="27" t="s">
        <v>157</v>
      </c>
    </row>
    <row r="48" spans="1:6" ht="21" x14ac:dyDescent="0.3">
      <c r="A48" s="34">
        <v>37</v>
      </c>
      <c r="B48" s="25" t="s">
        <v>238</v>
      </c>
      <c r="D48" s="25" t="s">
        <v>171</v>
      </c>
      <c r="E48" s="25" t="s">
        <v>443</v>
      </c>
      <c r="F48" s="27" t="s">
        <v>157</v>
      </c>
    </row>
    <row r="49" spans="1:6" ht="28.8" x14ac:dyDescent="0.3">
      <c r="A49" s="34">
        <v>38</v>
      </c>
      <c r="B49" s="25" t="s">
        <v>299</v>
      </c>
      <c r="D49" s="25" t="s">
        <v>172</v>
      </c>
      <c r="E49" s="25" t="s">
        <v>443</v>
      </c>
      <c r="F49" s="27" t="s">
        <v>157</v>
      </c>
    </row>
    <row r="50" spans="1:6" ht="28.8" x14ac:dyDescent="0.3">
      <c r="A50" s="34">
        <v>39</v>
      </c>
      <c r="B50" s="25" t="s">
        <v>239</v>
      </c>
      <c r="D50" s="25" t="s">
        <v>172</v>
      </c>
      <c r="E50" s="25" t="s">
        <v>443</v>
      </c>
      <c r="F50" s="27" t="s">
        <v>157</v>
      </c>
    </row>
    <row r="51" spans="1:6" ht="28.8" x14ac:dyDescent="0.3">
      <c r="A51" s="34">
        <v>40</v>
      </c>
      <c r="B51" s="25" t="s">
        <v>300</v>
      </c>
      <c r="D51" s="25" t="s">
        <v>172</v>
      </c>
      <c r="E51" s="25" t="s">
        <v>443</v>
      </c>
      <c r="F51" s="27" t="s">
        <v>157</v>
      </c>
    </row>
    <row r="52" spans="1:6" ht="28.8" x14ac:dyDescent="0.3">
      <c r="A52" s="34">
        <v>41</v>
      </c>
      <c r="B52" s="25" t="s">
        <v>301</v>
      </c>
      <c r="D52" s="25" t="s">
        <v>172</v>
      </c>
      <c r="E52" s="25" t="s">
        <v>422</v>
      </c>
      <c r="F52" s="27" t="s">
        <v>157</v>
      </c>
    </row>
    <row r="53" spans="1:6" ht="43.2" x14ac:dyDescent="0.3">
      <c r="A53" s="34"/>
      <c r="B53" s="26" t="s">
        <v>425</v>
      </c>
      <c r="C53" s="26"/>
      <c r="D53" s="26" t="s">
        <v>192</v>
      </c>
      <c r="E53" s="25" t="s">
        <v>422</v>
      </c>
      <c r="F53" s="26" t="s">
        <v>421</v>
      </c>
    </row>
    <row r="54" spans="1:6" ht="21" x14ac:dyDescent="0.3">
      <c r="A54" s="34">
        <v>42</v>
      </c>
      <c r="B54" s="25" t="s">
        <v>240</v>
      </c>
      <c r="D54" s="25" t="s">
        <v>173</v>
      </c>
      <c r="E54" s="25" t="s">
        <v>443</v>
      </c>
      <c r="F54" s="27" t="s">
        <v>157</v>
      </c>
    </row>
    <row r="55" spans="1:6" ht="21" x14ac:dyDescent="0.3">
      <c r="A55" s="34">
        <v>43</v>
      </c>
      <c r="B55" s="25" t="s">
        <v>302</v>
      </c>
      <c r="D55" s="25" t="s">
        <v>173</v>
      </c>
      <c r="E55" s="25" t="s">
        <v>443</v>
      </c>
      <c r="F55" s="27" t="s">
        <v>157</v>
      </c>
    </row>
    <row r="56" spans="1:6" ht="21" x14ac:dyDescent="0.3">
      <c r="A56" s="34">
        <v>44</v>
      </c>
      <c r="B56" s="25" t="s">
        <v>241</v>
      </c>
      <c r="D56" s="25" t="s">
        <v>173</v>
      </c>
      <c r="E56" s="25" t="s">
        <v>443</v>
      </c>
      <c r="F56" s="27" t="s">
        <v>157</v>
      </c>
    </row>
    <row r="57" spans="1:6" ht="21" x14ac:dyDescent="0.3">
      <c r="A57" s="34">
        <v>45</v>
      </c>
      <c r="B57" s="25" t="s">
        <v>242</v>
      </c>
      <c r="D57" s="25" t="s">
        <v>173</v>
      </c>
      <c r="E57" s="25" t="s">
        <v>443</v>
      </c>
      <c r="F57" s="27" t="s">
        <v>157</v>
      </c>
    </row>
    <row r="58" spans="1:6" ht="21" x14ac:dyDescent="0.3">
      <c r="A58" s="34">
        <v>46</v>
      </c>
      <c r="B58" s="25" t="s">
        <v>243</v>
      </c>
      <c r="D58" s="25" t="s">
        <v>244</v>
      </c>
      <c r="E58" s="25" t="s">
        <v>443</v>
      </c>
      <c r="F58" s="27" t="s">
        <v>157</v>
      </c>
    </row>
    <row r="59" spans="1:6" ht="21" x14ac:dyDescent="0.3">
      <c r="A59" s="34">
        <v>47</v>
      </c>
      <c r="B59" s="25" t="s">
        <v>303</v>
      </c>
      <c r="D59" s="25" t="s">
        <v>174</v>
      </c>
      <c r="E59" s="25" t="s">
        <v>443</v>
      </c>
      <c r="F59" s="27" t="s">
        <v>157</v>
      </c>
    </row>
    <row r="60" spans="1:6" ht="21" x14ac:dyDescent="0.3">
      <c r="A60" s="34">
        <v>48</v>
      </c>
      <c r="B60" s="25" t="s">
        <v>245</v>
      </c>
      <c r="D60" s="25" t="s">
        <v>174</v>
      </c>
      <c r="E60" s="25" t="s">
        <v>443</v>
      </c>
      <c r="F60" s="27" t="s">
        <v>157</v>
      </c>
    </row>
    <row r="61" spans="1:6" ht="28.8" x14ac:dyDescent="0.3">
      <c r="A61" s="34">
        <v>49</v>
      </c>
      <c r="B61" s="25" t="s">
        <v>304</v>
      </c>
      <c r="D61" s="25" t="s">
        <v>174</v>
      </c>
      <c r="E61" s="25" t="s">
        <v>443</v>
      </c>
      <c r="F61" s="27" t="s">
        <v>157</v>
      </c>
    </row>
    <row r="62" spans="1:6" ht="21" x14ac:dyDescent="0.3">
      <c r="A62" s="34">
        <v>50</v>
      </c>
      <c r="B62" s="25" t="s">
        <v>305</v>
      </c>
      <c r="D62" s="25" t="s">
        <v>246</v>
      </c>
      <c r="E62" s="25" t="s">
        <v>443</v>
      </c>
      <c r="F62" s="27" t="s">
        <v>157</v>
      </c>
    </row>
    <row r="63" spans="1:6" ht="21" x14ac:dyDescent="0.3">
      <c r="A63" s="34">
        <v>51</v>
      </c>
      <c r="B63" s="25" t="s">
        <v>247</v>
      </c>
      <c r="D63" s="25" t="s">
        <v>248</v>
      </c>
      <c r="E63" s="25" t="s">
        <v>443</v>
      </c>
      <c r="F63" s="27" t="s">
        <v>157</v>
      </c>
    </row>
    <row r="64" spans="1:6" ht="21" x14ac:dyDescent="0.3">
      <c r="A64" s="34">
        <v>52</v>
      </c>
      <c r="B64" s="25" t="s">
        <v>306</v>
      </c>
      <c r="D64" s="25" t="s">
        <v>248</v>
      </c>
      <c r="E64" s="25" t="s">
        <v>443</v>
      </c>
      <c r="F64" s="27" t="s">
        <v>157</v>
      </c>
    </row>
    <row r="65" spans="1:6" ht="21" x14ac:dyDescent="0.3">
      <c r="A65" s="34">
        <v>53</v>
      </c>
      <c r="B65" s="25" t="s">
        <v>249</v>
      </c>
      <c r="D65" s="25" t="s">
        <v>248</v>
      </c>
      <c r="E65" s="25" t="s">
        <v>443</v>
      </c>
      <c r="F65" s="27" t="s">
        <v>157</v>
      </c>
    </row>
    <row r="66" spans="1:6" ht="28.8" x14ac:dyDescent="0.3">
      <c r="A66" s="34">
        <v>54</v>
      </c>
      <c r="B66" s="25" t="s">
        <v>307</v>
      </c>
      <c r="D66" s="25" t="s">
        <v>250</v>
      </c>
      <c r="E66" s="25" t="s">
        <v>443</v>
      </c>
      <c r="F66" s="27" t="s">
        <v>157</v>
      </c>
    </row>
    <row r="67" spans="1:6" ht="21" x14ac:dyDescent="0.3">
      <c r="A67" s="34">
        <v>55</v>
      </c>
      <c r="B67" s="25" t="s">
        <v>308</v>
      </c>
      <c r="D67" s="25" t="s">
        <v>175</v>
      </c>
      <c r="E67" s="25" t="s">
        <v>443</v>
      </c>
      <c r="F67" s="27" t="s">
        <v>157</v>
      </c>
    </row>
    <row r="68" spans="1:6" ht="21" x14ac:dyDescent="0.3">
      <c r="A68" s="34">
        <v>56</v>
      </c>
      <c r="B68" s="25" t="s">
        <v>309</v>
      </c>
      <c r="D68" s="25" t="s">
        <v>175</v>
      </c>
      <c r="E68" s="25" t="s">
        <v>443</v>
      </c>
      <c r="F68" s="27" t="s">
        <v>157</v>
      </c>
    </row>
    <row r="69" spans="1:6" ht="28.8" x14ac:dyDescent="0.3">
      <c r="A69" s="34">
        <v>57</v>
      </c>
      <c r="B69" s="25" t="s">
        <v>310</v>
      </c>
      <c r="D69" s="25" t="s">
        <v>176</v>
      </c>
      <c r="E69" s="25" t="s">
        <v>443</v>
      </c>
      <c r="F69" s="27" t="s">
        <v>157</v>
      </c>
    </row>
    <row r="70" spans="1:6" ht="28.8" x14ac:dyDescent="0.3">
      <c r="A70" s="34">
        <v>58</v>
      </c>
      <c r="B70" s="25" t="s">
        <v>311</v>
      </c>
      <c r="D70" s="25" t="s">
        <v>251</v>
      </c>
      <c r="E70" s="25" t="s">
        <v>443</v>
      </c>
      <c r="F70" s="27" t="s">
        <v>157</v>
      </c>
    </row>
    <row r="71" spans="1:6" ht="43.2" x14ac:dyDescent="0.3">
      <c r="A71" s="34"/>
      <c r="B71" s="26" t="s">
        <v>420</v>
      </c>
      <c r="C71" s="26"/>
      <c r="D71" s="25" t="s">
        <v>192</v>
      </c>
      <c r="E71" s="25" t="s">
        <v>422</v>
      </c>
      <c r="F71" s="25" t="s">
        <v>421</v>
      </c>
    </row>
    <row r="72" spans="1:6" ht="43.2" x14ac:dyDescent="0.3">
      <c r="A72" s="34">
        <v>59</v>
      </c>
      <c r="B72" s="25" t="s">
        <v>312</v>
      </c>
      <c r="D72" s="25" t="s">
        <v>378</v>
      </c>
      <c r="E72" s="25" t="s">
        <v>443</v>
      </c>
      <c r="F72" s="27" t="s">
        <v>401</v>
      </c>
    </row>
    <row r="73" spans="1:6" ht="43.2" x14ac:dyDescent="0.3">
      <c r="A73" s="34">
        <v>60</v>
      </c>
      <c r="B73" s="25" t="s">
        <v>313</v>
      </c>
      <c r="D73" s="25" t="s">
        <v>376</v>
      </c>
      <c r="E73" s="25" t="s">
        <v>443</v>
      </c>
      <c r="F73" s="27" t="s">
        <v>401</v>
      </c>
    </row>
    <row r="74" spans="1:6" ht="43.2" x14ac:dyDescent="0.3">
      <c r="A74" s="34">
        <v>61</v>
      </c>
      <c r="B74" s="25" t="s">
        <v>314</v>
      </c>
      <c r="D74" s="25" t="s">
        <v>376</v>
      </c>
      <c r="E74" s="25" t="s">
        <v>443</v>
      </c>
      <c r="F74" s="27" t="s">
        <v>401</v>
      </c>
    </row>
    <row r="75" spans="1:6" ht="43.2" x14ac:dyDescent="0.3">
      <c r="A75" s="34">
        <v>62</v>
      </c>
      <c r="B75" s="25" t="s">
        <v>315</v>
      </c>
      <c r="D75" s="25" t="s">
        <v>376</v>
      </c>
      <c r="E75" s="25" t="s">
        <v>443</v>
      </c>
      <c r="F75" s="27" t="s">
        <v>401</v>
      </c>
    </row>
    <row r="76" spans="1:6" ht="43.2" x14ac:dyDescent="0.3">
      <c r="A76" s="34">
        <v>63</v>
      </c>
      <c r="B76" s="25" t="s">
        <v>316</v>
      </c>
      <c r="D76" s="25" t="s">
        <v>376</v>
      </c>
      <c r="E76" s="25" t="s">
        <v>443</v>
      </c>
      <c r="F76" s="27" t="s">
        <v>401</v>
      </c>
    </row>
    <row r="77" spans="1:6" ht="43.2" x14ac:dyDescent="0.3">
      <c r="A77" s="34">
        <v>64</v>
      </c>
      <c r="B77" s="25" t="s">
        <v>317</v>
      </c>
      <c r="D77" s="25" t="s">
        <v>376</v>
      </c>
      <c r="E77" s="25" t="s">
        <v>443</v>
      </c>
      <c r="F77" s="27" t="s">
        <v>401</v>
      </c>
    </row>
    <row r="78" spans="1:6" ht="43.2" x14ac:dyDescent="0.3">
      <c r="A78" s="34">
        <v>65</v>
      </c>
      <c r="B78" s="25" t="s">
        <v>318</v>
      </c>
      <c r="D78" s="25" t="s">
        <v>376</v>
      </c>
      <c r="E78" s="25" t="s">
        <v>443</v>
      </c>
      <c r="F78" s="27" t="s">
        <v>401</v>
      </c>
    </row>
    <row r="79" spans="1:6" ht="43.2" x14ac:dyDescent="0.3">
      <c r="A79" s="34">
        <v>66</v>
      </c>
      <c r="B79" s="25" t="s">
        <v>319</v>
      </c>
      <c r="D79" s="25" t="s">
        <v>376</v>
      </c>
      <c r="E79" s="25" t="s">
        <v>443</v>
      </c>
      <c r="F79" s="27" t="s">
        <v>401</v>
      </c>
    </row>
    <row r="80" spans="1:6" ht="43.2" x14ac:dyDescent="0.3">
      <c r="A80" s="34">
        <v>67</v>
      </c>
      <c r="B80" s="25" t="s">
        <v>320</v>
      </c>
      <c r="D80" s="25" t="s">
        <v>376</v>
      </c>
      <c r="E80" s="25" t="s">
        <v>443</v>
      </c>
      <c r="F80" s="27" t="s">
        <v>401</v>
      </c>
    </row>
    <row r="81" spans="1:6" ht="21" x14ac:dyDescent="0.3">
      <c r="A81" s="34">
        <v>68</v>
      </c>
      <c r="B81" s="25" t="s">
        <v>402</v>
      </c>
      <c r="D81" s="25" t="s">
        <v>252</v>
      </c>
      <c r="E81" s="25" t="s">
        <v>443</v>
      </c>
      <c r="F81" s="27" t="s">
        <v>401</v>
      </c>
    </row>
    <row r="82" spans="1:6" ht="21" x14ac:dyDescent="0.3">
      <c r="A82" s="34">
        <v>69</v>
      </c>
      <c r="B82" s="25" t="s">
        <v>321</v>
      </c>
      <c r="D82" s="25" t="s">
        <v>252</v>
      </c>
      <c r="E82" s="25" t="s">
        <v>443</v>
      </c>
      <c r="F82" s="27" t="s">
        <v>401</v>
      </c>
    </row>
    <row r="83" spans="1:6" ht="21" x14ac:dyDescent="0.3">
      <c r="A83" s="34">
        <v>70</v>
      </c>
      <c r="B83" s="25" t="s">
        <v>322</v>
      </c>
      <c r="D83" s="25" t="s">
        <v>252</v>
      </c>
      <c r="E83" s="25" t="s">
        <v>443</v>
      </c>
      <c r="F83" s="27" t="s">
        <v>401</v>
      </c>
    </row>
    <row r="84" spans="1:6" ht="21" x14ac:dyDescent="0.3">
      <c r="A84" s="34">
        <v>71</v>
      </c>
      <c r="B84" s="25" t="s">
        <v>323</v>
      </c>
      <c r="D84" s="25" t="s">
        <v>252</v>
      </c>
      <c r="E84" s="25" t="s">
        <v>443</v>
      </c>
      <c r="F84" s="27" t="s">
        <v>401</v>
      </c>
    </row>
    <row r="85" spans="1:6" ht="21" x14ac:dyDescent="0.3">
      <c r="A85" s="34">
        <v>72</v>
      </c>
      <c r="B85" s="25" t="s">
        <v>324</v>
      </c>
      <c r="D85" s="25" t="s">
        <v>252</v>
      </c>
      <c r="E85" s="25" t="s">
        <v>443</v>
      </c>
      <c r="F85" s="27" t="s">
        <v>401</v>
      </c>
    </row>
    <row r="86" spans="1:6" ht="21" x14ac:dyDescent="0.3">
      <c r="A86" s="34">
        <v>73</v>
      </c>
      <c r="B86" s="25" t="s">
        <v>325</v>
      </c>
      <c r="D86" s="25" t="s">
        <v>179</v>
      </c>
      <c r="E86" s="25" t="s">
        <v>443</v>
      </c>
      <c r="F86" s="27" t="s">
        <v>401</v>
      </c>
    </row>
    <row r="87" spans="1:6" ht="57.6" x14ac:dyDescent="0.3">
      <c r="A87" s="34">
        <v>74</v>
      </c>
      <c r="B87" s="25" t="s">
        <v>326</v>
      </c>
      <c r="D87" s="25" t="s">
        <v>377</v>
      </c>
      <c r="E87" s="25" t="s">
        <v>443</v>
      </c>
      <c r="F87" s="27" t="s">
        <v>401</v>
      </c>
    </row>
    <row r="88" spans="1:6" ht="57.6" x14ac:dyDescent="0.3">
      <c r="A88" s="34">
        <v>75</v>
      </c>
      <c r="B88" s="25" t="s">
        <v>327</v>
      </c>
      <c r="D88" s="25" t="s">
        <v>377</v>
      </c>
      <c r="E88" s="25" t="s">
        <v>443</v>
      </c>
      <c r="F88" s="27" t="s">
        <v>401</v>
      </c>
    </row>
    <row r="89" spans="1:6" ht="57.6" x14ac:dyDescent="0.3">
      <c r="A89" s="34">
        <v>76</v>
      </c>
      <c r="B89" s="25" t="s">
        <v>328</v>
      </c>
      <c r="D89" s="25" t="s">
        <v>377</v>
      </c>
      <c r="E89" s="25" t="s">
        <v>443</v>
      </c>
      <c r="F89" s="27" t="s">
        <v>401</v>
      </c>
    </row>
    <row r="90" spans="1:6" ht="28.8" x14ac:dyDescent="0.3">
      <c r="A90" s="34">
        <v>77</v>
      </c>
      <c r="B90" s="25" t="s">
        <v>329</v>
      </c>
      <c r="D90" s="25" t="s">
        <v>177</v>
      </c>
      <c r="E90" s="25" t="s">
        <v>443</v>
      </c>
      <c r="F90" s="27" t="s">
        <v>401</v>
      </c>
    </row>
    <row r="91" spans="1:6" ht="28.8" x14ac:dyDescent="0.3">
      <c r="A91" s="34">
        <v>78</v>
      </c>
      <c r="B91" s="25" t="s">
        <v>330</v>
      </c>
      <c r="D91" s="25" t="s">
        <v>177</v>
      </c>
      <c r="E91" s="25" t="s">
        <v>443</v>
      </c>
      <c r="F91" s="27" t="s">
        <v>401</v>
      </c>
    </row>
    <row r="92" spans="1:6" ht="28.8" x14ac:dyDescent="0.3">
      <c r="A92" s="34">
        <v>79</v>
      </c>
      <c r="B92" s="25" t="s">
        <v>331</v>
      </c>
      <c r="D92" s="25" t="s">
        <v>385</v>
      </c>
      <c r="E92" s="25" t="s">
        <v>443</v>
      </c>
      <c r="F92" s="27" t="s">
        <v>388</v>
      </c>
    </row>
    <row r="93" spans="1:6" ht="28.8" x14ac:dyDescent="0.3">
      <c r="A93" s="34">
        <v>80</v>
      </c>
      <c r="B93" s="25" t="s">
        <v>332</v>
      </c>
      <c r="D93" s="25" t="s">
        <v>178</v>
      </c>
      <c r="E93" s="25" t="s">
        <v>443</v>
      </c>
      <c r="F93" s="27" t="s">
        <v>388</v>
      </c>
    </row>
    <row r="94" spans="1:6" ht="28.8" x14ac:dyDescent="0.3">
      <c r="A94" s="34">
        <v>81</v>
      </c>
      <c r="B94" s="25" t="s">
        <v>333</v>
      </c>
      <c r="D94" s="25" t="s">
        <v>178</v>
      </c>
      <c r="E94" s="25" t="s">
        <v>443</v>
      </c>
      <c r="F94" s="27" t="s">
        <v>388</v>
      </c>
    </row>
    <row r="95" spans="1:6" ht="43.2" x14ac:dyDescent="0.3">
      <c r="A95" s="34">
        <v>82</v>
      </c>
      <c r="B95" s="25" t="s">
        <v>335</v>
      </c>
      <c r="D95" s="25" t="s">
        <v>334</v>
      </c>
      <c r="E95" s="25" t="s">
        <v>443</v>
      </c>
      <c r="F95" s="27" t="s">
        <v>388</v>
      </c>
    </row>
    <row r="96" spans="1:6" ht="86.4" x14ac:dyDescent="0.3">
      <c r="A96" s="34"/>
      <c r="B96" s="26" t="s">
        <v>417</v>
      </c>
      <c r="C96" s="26"/>
      <c r="D96" s="25" t="s">
        <v>334</v>
      </c>
      <c r="E96" s="25" t="s">
        <v>416</v>
      </c>
      <c r="F96" s="25" t="s">
        <v>418</v>
      </c>
    </row>
    <row r="97" spans="1:6" ht="57.6" x14ac:dyDescent="0.3">
      <c r="A97" s="34">
        <v>83</v>
      </c>
      <c r="B97" s="25" t="s">
        <v>336</v>
      </c>
      <c r="D97" s="25" t="s">
        <v>334</v>
      </c>
      <c r="E97" s="25" t="s">
        <v>416</v>
      </c>
      <c r="F97" s="25" t="s">
        <v>419</v>
      </c>
    </row>
    <row r="98" spans="1:6" ht="43.2" x14ac:dyDescent="0.3">
      <c r="A98" s="34">
        <v>84</v>
      </c>
      <c r="B98" s="25" t="s">
        <v>337</v>
      </c>
      <c r="D98" s="25" t="s">
        <v>334</v>
      </c>
      <c r="E98" s="25" t="s">
        <v>422</v>
      </c>
      <c r="F98" s="27" t="s">
        <v>388</v>
      </c>
    </row>
    <row r="99" spans="1:6" ht="43.2" x14ac:dyDescent="0.3">
      <c r="A99" s="34">
        <v>85</v>
      </c>
      <c r="B99" s="26" t="s">
        <v>423</v>
      </c>
      <c r="C99" s="26"/>
      <c r="D99" s="25" t="s">
        <v>334</v>
      </c>
      <c r="E99" s="25" t="s">
        <v>422</v>
      </c>
      <c r="F99" s="26" t="s">
        <v>424</v>
      </c>
    </row>
    <row r="100" spans="1:6" ht="43.2" x14ac:dyDescent="0.3">
      <c r="A100" s="34">
        <v>86</v>
      </c>
      <c r="B100" s="25" t="s">
        <v>338</v>
      </c>
      <c r="D100" s="25" t="s">
        <v>334</v>
      </c>
      <c r="E100" s="25" t="s">
        <v>443</v>
      </c>
      <c r="F100" s="27" t="s">
        <v>388</v>
      </c>
    </row>
    <row r="101" spans="1:6" ht="43.2" x14ac:dyDescent="0.3">
      <c r="A101" s="34">
        <v>87</v>
      </c>
      <c r="B101" s="25" t="s">
        <v>339</v>
      </c>
      <c r="D101" s="25" t="s">
        <v>334</v>
      </c>
      <c r="E101" s="25" t="s">
        <v>422</v>
      </c>
      <c r="F101" s="27" t="s">
        <v>388</v>
      </c>
    </row>
    <row r="102" spans="1:6" ht="43.2" x14ac:dyDescent="0.3">
      <c r="A102" s="34">
        <v>88</v>
      </c>
      <c r="B102" s="25" t="s">
        <v>340</v>
      </c>
      <c r="D102" s="25" t="s">
        <v>334</v>
      </c>
      <c r="E102" s="25" t="s">
        <v>443</v>
      </c>
      <c r="F102" s="27" t="s">
        <v>388</v>
      </c>
    </row>
    <row r="103" spans="1:6" ht="43.2" x14ac:dyDescent="0.3">
      <c r="A103" s="34">
        <v>89</v>
      </c>
      <c r="B103" s="25" t="s">
        <v>403</v>
      </c>
      <c r="D103" s="25" t="s">
        <v>334</v>
      </c>
      <c r="E103" s="25" t="s">
        <v>443</v>
      </c>
      <c r="F103" s="27" t="s">
        <v>388</v>
      </c>
    </row>
    <row r="104" spans="1:6" ht="43.2" x14ac:dyDescent="0.3">
      <c r="A104" s="34">
        <v>90</v>
      </c>
      <c r="B104" s="25" t="s">
        <v>404</v>
      </c>
      <c r="D104" s="25" t="s">
        <v>334</v>
      </c>
      <c r="E104" s="25" t="s">
        <v>443</v>
      </c>
      <c r="F104" s="27" t="s">
        <v>388</v>
      </c>
    </row>
    <row r="105" spans="1:6" ht="43.2" x14ac:dyDescent="0.3">
      <c r="A105" s="34">
        <v>91</v>
      </c>
      <c r="B105" s="25" t="s">
        <v>341</v>
      </c>
      <c r="D105" s="25" t="s">
        <v>334</v>
      </c>
      <c r="E105" s="25" t="s">
        <v>443</v>
      </c>
      <c r="F105" s="27" t="s">
        <v>388</v>
      </c>
    </row>
    <row r="106" spans="1:6" ht="43.2" x14ac:dyDescent="0.3">
      <c r="A106" s="34">
        <v>92</v>
      </c>
      <c r="B106" s="25" t="s">
        <v>253</v>
      </c>
      <c r="D106" s="25" t="s">
        <v>334</v>
      </c>
      <c r="E106" s="25" t="s">
        <v>443</v>
      </c>
      <c r="F106" s="27" t="s">
        <v>388</v>
      </c>
    </row>
    <row r="107" spans="1:6" ht="28.8" x14ac:dyDescent="0.3">
      <c r="A107" s="34">
        <v>93</v>
      </c>
      <c r="B107" s="25" t="s">
        <v>254</v>
      </c>
      <c r="D107" s="25" t="s">
        <v>386</v>
      </c>
      <c r="E107" s="25" t="s">
        <v>443</v>
      </c>
      <c r="F107" s="27" t="s">
        <v>388</v>
      </c>
    </row>
    <row r="108" spans="1:6" ht="21" x14ac:dyDescent="0.3">
      <c r="A108" s="34">
        <v>94</v>
      </c>
      <c r="B108" s="25" t="s">
        <v>342</v>
      </c>
      <c r="D108" s="25" t="s">
        <v>181</v>
      </c>
      <c r="E108" s="25" t="s">
        <v>443</v>
      </c>
      <c r="F108" s="27" t="s">
        <v>388</v>
      </c>
    </row>
    <row r="109" spans="1:6" ht="21" x14ac:dyDescent="0.3">
      <c r="A109" s="34">
        <v>95</v>
      </c>
      <c r="B109" s="25" t="s">
        <v>255</v>
      </c>
      <c r="D109" s="25" t="s">
        <v>181</v>
      </c>
      <c r="E109" s="25" t="s">
        <v>443</v>
      </c>
      <c r="F109" s="27" t="s">
        <v>388</v>
      </c>
    </row>
    <row r="110" spans="1:6" ht="21" x14ac:dyDescent="0.3">
      <c r="A110" s="34">
        <v>96</v>
      </c>
      <c r="B110" s="25" t="s">
        <v>256</v>
      </c>
      <c r="D110" s="25" t="s">
        <v>182</v>
      </c>
      <c r="E110" s="25" t="s">
        <v>443</v>
      </c>
      <c r="F110" s="27" t="s">
        <v>388</v>
      </c>
    </row>
    <row r="111" spans="1:6" ht="21" x14ac:dyDescent="0.3">
      <c r="A111" s="34">
        <v>97</v>
      </c>
      <c r="B111" s="25" t="s">
        <v>257</v>
      </c>
      <c r="D111" s="25" t="s">
        <v>182</v>
      </c>
      <c r="E111" s="25" t="s">
        <v>443</v>
      </c>
      <c r="F111" s="27" t="s">
        <v>388</v>
      </c>
    </row>
    <row r="112" spans="1:6" ht="21" x14ac:dyDescent="0.3">
      <c r="A112" s="34">
        <v>98</v>
      </c>
      <c r="B112" s="25" t="s">
        <v>405</v>
      </c>
      <c r="D112" s="25" t="s">
        <v>182</v>
      </c>
      <c r="E112" s="25" t="s">
        <v>443</v>
      </c>
      <c r="F112" s="27" t="s">
        <v>388</v>
      </c>
    </row>
    <row r="113" spans="1:6" ht="21" x14ac:dyDescent="0.3">
      <c r="A113" s="34">
        <v>99</v>
      </c>
      <c r="B113" s="25" t="s">
        <v>343</v>
      </c>
      <c r="D113" s="25" t="s">
        <v>159</v>
      </c>
      <c r="E113" s="25" t="s">
        <v>443</v>
      </c>
      <c r="F113" s="27" t="s">
        <v>388</v>
      </c>
    </row>
    <row r="114" spans="1:6" ht="21" x14ac:dyDescent="0.3">
      <c r="A114" s="34">
        <v>100</v>
      </c>
      <c r="B114" s="25" t="s">
        <v>344</v>
      </c>
      <c r="D114" s="25" t="s">
        <v>159</v>
      </c>
      <c r="E114" s="25" t="s">
        <v>443</v>
      </c>
      <c r="F114" s="27" t="s">
        <v>388</v>
      </c>
    </row>
    <row r="115" spans="1:6" ht="28.8" x14ac:dyDescent="0.3">
      <c r="A115" s="34">
        <v>101</v>
      </c>
      <c r="B115" s="25" t="s">
        <v>345</v>
      </c>
      <c r="D115" s="25" t="s">
        <v>159</v>
      </c>
      <c r="E115" s="25" t="s">
        <v>443</v>
      </c>
      <c r="F115" s="27" t="s">
        <v>388</v>
      </c>
    </row>
    <row r="116" spans="1:6" ht="28.8" x14ac:dyDescent="0.3">
      <c r="A116" s="34">
        <v>102</v>
      </c>
      <c r="B116" s="25" t="s">
        <v>406</v>
      </c>
      <c r="D116" s="25" t="s">
        <v>159</v>
      </c>
      <c r="E116" s="25" t="s">
        <v>443</v>
      </c>
      <c r="F116" s="27" t="s">
        <v>388</v>
      </c>
    </row>
    <row r="117" spans="1:6" ht="28.8" x14ac:dyDescent="0.3">
      <c r="A117" s="34">
        <v>103</v>
      </c>
      <c r="B117" s="25" t="s">
        <v>346</v>
      </c>
      <c r="D117" s="25" t="s">
        <v>159</v>
      </c>
      <c r="E117" s="25" t="s">
        <v>443</v>
      </c>
      <c r="F117" s="27" t="s">
        <v>388</v>
      </c>
    </row>
    <row r="118" spans="1:6" ht="21" x14ac:dyDescent="0.3">
      <c r="A118" s="34">
        <v>104</v>
      </c>
      <c r="B118" s="25" t="s">
        <v>407</v>
      </c>
      <c r="D118" s="25" t="s">
        <v>383</v>
      </c>
      <c r="E118" s="25" t="s">
        <v>443</v>
      </c>
      <c r="F118" s="27" t="s">
        <v>388</v>
      </c>
    </row>
    <row r="119" spans="1:6" ht="21" x14ac:dyDescent="0.3">
      <c r="A119" s="34">
        <v>105</v>
      </c>
      <c r="B119" s="25" t="s">
        <v>408</v>
      </c>
      <c r="D119" s="25" t="s">
        <v>383</v>
      </c>
      <c r="E119" s="25" t="s">
        <v>443</v>
      </c>
      <c r="F119" s="27" t="s">
        <v>388</v>
      </c>
    </row>
    <row r="120" spans="1:6" ht="28.8" x14ac:dyDescent="0.3">
      <c r="A120" s="34">
        <v>106</v>
      </c>
      <c r="B120" s="25" t="s">
        <v>409</v>
      </c>
      <c r="D120" s="25" t="s">
        <v>188</v>
      </c>
      <c r="E120" s="25" t="s">
        <v>443</v>
      </c>
      <c r="F120" s="27" t="s">
        <v>388</v>
      </c>
    </row>
    <row r="121" spans="1:6" ht="21" x14ac:dyDescent="0.3">
      <c r="A121" s="34">
        <v>107</v>
      </c>
      <c r="B121" s="25" t="s">
        <v>410</v>
      </c>
      <c r="D121" s="25" t="s">
        <v>188</v>
      </c>
      <c r="E121" s="25" t="s">
        <v>443</v>
      </c>
      <c r="F121" s="27" t="s">
        <v>388</v>
      </c>
    </row>
    <row r="122" spans="1:6" ht="21" x14ac:dyDescent="0.3">
      <c r="A122" s="34">
        <v>108</v>
      </c>
      <c r="B122" s="25" t="s">
        <v>411</v>
      </c>
      <c r="D122" s="25" t="s">
        <v>384</v>
      </c>
      <c r="E122" s="25" t="s">
        <v>443</v>
      </c>
      <c r="F122" s="27" t="s">
        <v>388</v>
      </c>
    </row>
    <row r="123" spans="1:6" ht="28.8" x14ac:dyDescent="0.3">
      <c r="A123" s="34">
        <v>109</v>
      </c>
      <c r="B123" s="25" t="s">
        <v>412</v>
      </c>
      <c r="D123" s="25" t="s">
        <v>187</v>
      </c>
      <c r="E123" s="25" t="s">
        <v>443</v>
      </c>
      <c r="F123" s="27" t="s">
        <v>388</v>
      </c>
    </row>
    <row r="124" spans="1:6" ht="28.8" x14ac:dyDescent="0.3">
      <c r="A124" s="34">
        <v>110</v>
      </c>
      <c r="B124" s="25" t="s">
        <v>413</v>
      </c>
      <c r="D124" s="25" t="s">
        <v>187</v>
      </c>
      <c r="E124" s="25" t="s">
        <v>443</v>
      </c>
      <c r="F124" s="27" t="s">
        <v>388</v>
      </c>
    </row>
    <row r="125" spans="1:6" ht="21" x14ac:dyDescent="0.3">
      <c r="A125" s="34">
        <v>111</v>
      </c>
      <c r="B125" s="25" t="s">
        <v>414</v>
      </c>
      <c r="D125" s="25" t="s">
        <v>382</v>
      </c>
      <c r="E125" s="25" t="s">
        <v>443</v>
      </c>
      <c r="F125" s="27" t="s">
        <v>388</v>
      </c>
    </row>
    <row r="126" spans="1:6" ht="28.8" x14ac:dyDescent="0.3">
      <c r="A126" s="34">
        <v>112</v>
      </c>
      <c r="B126" s="25" t="s">
        <v>360</v>
      </c>
      <c r="D126" s="25" t="s">
        <v>382</v>
      </c>
      <c r="E126" s="25" t="s">
        <v>443</v>
      </c>
      <c r="F126" s="27" t="s">
        <v>388</v>
      </c>
    </row>
    <row r="127" spans="1:6" ht="28.8" x14ac:dyDescent="0.3">
      <c r="A127" s="34">
        <v>113</v>
      </c>
      <c r="B127" s="25" t="s">
        <v>361</v>
      </c>
      <c r="D127" s="25" t="s">
        <v>382</v>
      </c>
      <c r="E127" s="25" t="s">
        <v>443</v>
      </c>
      <c r="F127" s="27" t="s">
        <v>388</v>
      </c>
    </row>
    <row r="128" spans="1:6" ht="21" x14ac:dyDescent="0.3">
      <c r="A128" s="34">
        <v>114</v>
      </c>
      <c r="B128" s="25" t="s">
        <v>362</v>
      </c>
      <c r="D128" s="25" t="s">
        <v>382</v>
      </c>
      <c r="E128" s="25" t="s">
        <v>443</v>
      </c>
      <c r="F128" s="27" t="s">
        <v>388</v>
      </c>
    </row>
    <row r="129" spans="1:6" ht="21" x14ac:dyDescent="0.3">
      <c r="A129" s="34">
        <v>115</v>
      </c>
      <c r="B129" s="25" t="s">
        <v>363</v>
      </c>
      <c r="D129" s="25" t="s">
        <v>382</v>
      </c>
      <c r="E129" s="25" t="s">
        <v>443</v>
      </c>
      <c r="F129" s="27" t="s">
        <v>388</v>
      </c>
    </row>
    <row r="130" spans="1:6" ht="28.8" x14ac:dyDescent="0.3">
      <c r="A130" s="34">
        <v>116</v>
      </c>
      <c r="B130" s="25" t="s">
        <v>364</v>
      </c>
      <c r="D130" s="25" t="s">
        <v>382</v>
      </c>
      <c r="E130" s="25" t="s">
        <v>443</v>
      </c>
      <c r="F130" s="27" t="s">
        <v>388</v>
      </c>
    </row>
    <row r="131" spans="1:6" ht="21" x14ac:dyDescent="0.3">
      <c r="A131" s="34">
        <v>117</v>
      </c>
      <c r="B131" s="25" t="s">
        <v>365</v>
      </c>
      <c r="D131" s="25" t="s">
        <v>382</v>
      </c>
      <c r="E131" s="25" t="s">
        <v>443</v>
      </c>
      <c r="F131" s="27" t="s">
        <v>388</v>
      </c>
    </row>
    <row r="132" spans="1:6" ht="21" x14ac:dyDescent="0.3">
      <c r="A132" s="34">
        <v>118</v>
      </c>
      <c r="B132" s="25" t="s">
        <v>366</v>
      </c>
      <c r="D132" s="25" t="s">
        <v>186</v>
      </c>
      <c r="E132" s="25" t="s">
        <v>443</v>
      </c>
      <c r="F132" s="27" t="s">
        <v>388</v>
      </c>
    </row>
    <row r="133" spans="1:6" ht="21" x14ac:dyDescent="0.3">
      <c r="A133" s="34">
        <v>119</v>
      </c>
      <c r="B133" s="25" t="s">
        <v>367</v>
      </c>
      <c r="D133" s="25" t="s">
        <v>186</v>
      </c>
      <c r="E133" s="25" t="s">
        <v>443</v>
      </c>
      <c r="F133" s="27" t="s">
        <v>388</v>
      </c>
    </row>
    <row r="134" spans="1:6" ht="28.8" x14ac:dyDescent="0.3">
      <c r="A134" s="34">
        <v>120</v>
      </c>
      <c r="B134" s="25" t="s">
        <v>368</v>
      </c>
      <c r="D134" s="25" t="s">
        <v>186</v>
      </c>
      <c r="E134" s="25" t="s">
        <v>443</v>
      </c>
      <c r="F134" s="27" t="s">
        <v>388</v>
      </c>
    </row>
    <row r="135" spans="1:6" ht="21" x14ac:dyDescent="0.3">
      <c r="A135" s="34">
        <v>121</v>
      </c>
      <c r="B135" s="25" t="s">
        <v>369</v>
      </c>
      <c r="D135" s="25" t="s">
        <v>186</v>
      </c>
      <c r="E135" s="25" t="s">
        <v>443</v>
      </c>
      <c r="F135" s="27" t="s">
        <v>388</v>
      </c>
    </row>
    <row r="136" spans="1:6" ht="21" x14ac:dyDescent="0.3">
      <c r="A136" s="34">
        <v>122</v>
      </c>
      <c r="B136" s="25" t="s">
        <v>347</v>
      </c>
      <c r="D136" s="25" t="s">
        <v>186</v>
      </c>
      <c r="E136" s="25" t="s">
        <v>443</v>
      </c>
      <c r="F136" s="27" t="s">
        <v>388</v>
      </c>
    </row>
    <row r="137" spans="1:6" ht="21" x14ac:dyDescent="0.3">
      <c r="A137" s="34">
        <v>123</v>
      </c>
      <c r="B137" s="25" t="s">
        <v>258</v>
      </c>
      <c r="D137" s="25" t="s">
        <v>186</v>
      </c>
      <c r="E137" s="25" t="s">
        <v>443</v>
      </c>
      <c r="F137" s="27" t="s">
        <v>388</v>
      </c>
    </row>
    <row r="138" spans="1:6" ht="21" x14ac:dyDescent="0.3">
      <c r="A138" s="34">
        <v>124</v>
      </c>
      <c r="B138" s="25" t="s">
        <v>259</v>
      </c>
      <c r="D138" s="25" t="s">
        <v>180</v>
      </c>
      <c r="E138" s="25" t="s">
        <v>443</v>
      </c>
      <c r="F138" s="27" t="s">
        <v>388</v>
      </c>
    </row>
    <row r="139" spans="1:6" ht="21" x14ac:dyDescent="0.3">
      <c r="A139" s="34">
        <v>125</v>
      </c>
      <c r="B139" s="25" t="s">
        <v>260</v>
      </c>
      <c r="D139" s="25" t="s">
        <v>180</v>
      </c>
      <c r="E139" s="25" t="s">
        <v>443</v>
      </c>
      <c r="F139" s="27" t="s">
        <v>388</v>
      </c>
    </row>
    <row r="140" spans="1:6" ht="21" x14ac:dyDescent="0.3">
      <c r="A140" s="34">
        <v>126</v>
      </c>
      <c r="B140" s="25" t="s">
        <v>261</v>
      </c>
      <c r="D140" s="25" t="s">
        <v>180</v>
      </c>
      <c r="E140" s="25" t="s">
        <v>443</v>
      </c>
      <c r="F140" s="27" t="s">
        <v>388</v>
      </c>
    </row>
    <row r="141" spans="1:6" ht="21" x14ac:dyDescent="0.3">
      <c r="A141" s="34">
        <v>127</v>
      </c>
      <c r="B141" s="25" t="s">
        <v>262</v>
      </c>
      <c r="D141" s="25" t="s">
        <v>180</v>
      </c>
      <c r="E141" s="25" t="s">
        <v>443</v>
      </c>
      <c r="F141" s="27" t="s">
        <v>388</v>
      </c>
    </row>
    <row r="142" spans="1:6" ht="28.8" x14ac:dyDescent="0.3">
      <c r="A142" s="34">
        <v>128</v>
      </c>
      <c r="B142" s="25" t="s">
        <v>348</v>
      </c>
      <c r="D142" s="25" t="s">
        <v>387</v>
      </c>
      <c r="E142" s="25" t="s">
        <v>443</v>
      </c>
      <c r="F142" s="27" t="s">
        <v>388</v>
      </c>
    </row>
    <row r="143" spans="1:6" ht="28.8" x14ac:dyDescent="0.3">
      <c r="A143" s="34">
        <v>129</v>
      </c>
      <c r="B143" s="25" t="s">
        <v>349</v>
      </c>
      <c r="D143" s="25" t="s">
        <v>387</v>
      </c>
      <c r="E143" s="25" t="s">
        <v>443</v>
      </c>
      <c r="F143" s="27" t="s">
        <v>388</v>
      </c>
    </row>
    <row r="144" spans="1:6" ht="28.8" x14ac:dyDescent="0.3">
      <c r="A144" s="34">
        <v>130</v>
      </c>
      <c r="B144" s="25" t="s">
        <v>350</v>
      </c>
      <c r="D144" s="25" t="s">
        <v>387</v>
      </c>
      <c r="E144" s="25" t="s">
        <v>443</v>
      </c>
      <c r="F144" s="27" t="s">
        <v>388</v>
      </c>
    </row>
    <row r="145" spans="1:6" ht="28.8" x14ac:dyDescent="0.3">
      <c r="A145" s="34">
        <v>131</v>
      </c>
      <c r="B145" s="25" t="s">
        <v>351</v>
      </c>
      <c r="D145" s="25" t="s">
        <v>387</v>
      </c>
      <c r="E145" s="25" t="s">
        <v>443</v>
      </c>
      <c r="F145" s="27" t="s">
        <v>388</v>
      </c>
    </row>
    <row r="146" spans="1:6" ht="28.8" x14ac:dyDescent="0.3">
      <c r="A146" s="34">
        <v>132</v>
      </c>
      <c r="B146" s="25" t="s">
        <v>352</v>
      </c>
      <c r="D146" s="25" t="s">
        <v>264</v>
      </c>
      <c r="E146" s="25" t="s">
        <v>443</v>
      </c>
      <c r="F146" s="27" t="s">
        <v>388</v>
      </c>
    </row>
    <row r="147" spans="1:6" ht="28.8" x14ac:dyDescent="0.3">
      <c r="A147" s="34">
        <v>133</v>
      </c>
      <c r="B147" s="25" t="s">
        <v>353</v>
      </c>
      <c r="D147" s="25" t="s">
        <v>264</v>
      </c>
      <c r="E147" s="25" t="s">
        <v>443</v>
      </c>
      <c r="F147" s="27" t="s">
        <v>388</v>
      </c>
    </row>
    <row r="148" spans="1:6" ht="28.8" x14ac:dyDescent="0.3">
      <c r="A148" s="34">
        <v>134</v>
      </c>
      <c r="B148" s="25" t="s">
        <v>354</v>
      </c>
      <c r="D148" s="25" t="s">
        <v>264</v>
      </c>
      <c r="E148" s="25" t="s">
        <v>443</v>
      </c>
      <c r="F148" s="27" t="s">
        <v>388</v>
      </c>
    </row>
    <row r="149" spans="1:6" ht="28.8" x14ac:dyDescent="0.3">
      <c r="A149" s="34">
        <v>135</v>
      </c>
      <c r="B149" s="25" t="s">
        <v>355</v>
      </c>
      <c r="D149" s="25" t="s">
        <v>264</v>
      </c>
      <c r="E149" s="25" t="s">
        <v>443</v>
      </c>
      <c r="F149" s="27" t="s">
        <v>388</v>
      </c>
    </row>
    <row r="150" spans="1:6" ht="21" x14ac:dyDescent="0.3">
      <c r="A150" s="34">
        <v>136</v>
      </c>
      <c r="B150" s="25" t="s">
        <v>263</v>
      </c>
      <c r="D150" s="25" t="s">
        <v>264</v>
      </c>
      <c r="E150" s="25" t="s">
        <v>443</v>
      </c>
      <c r="F150" s="27" t="s">
        <v>388</v>
      </c>
    </row>
    <row r="151" spans="1:6" ht="21" x14ac:dyDescent="0.3">
      <c r="A151" s="34">
        <v>137</v>
      </c>
      <c r="B151" s="25" t="s">
        <v>356</v>
      </c>
      <c r="D151" s="25" t="s">
        <v>185</v>
      </c>
      <c r="E151" s="25" t="s">
        <v>443</v>
      </c>
      <c r="F151" s="27" t="s">
        <v>388</v>
      </c>
    </row>
    <row r="152" spans="1:6" ht="21" x14ac:dyDescent="0.3">
      <c r="A152" s="34">
        <v>138</v>
      </c>
      <c r="B152" s="25" t="s">
        <v>265</v>
      </c>
      <c r="D152" s="25" t="s">
        <v>185</v>
      </c>
      <c r="E152" s="25" t="s">
        <v>443</v>
      </c>
      <c r="F152" s="27" t="s">
        <v>388</v>
      </c>
    </row>
    <row r="153" spans="1:6" ht="21" x14ac:dyDescent="0.3">
      <c r="A153" s="34">
        <v>139</v>
      </c>
      <c r="B153" s="25" t="s">
        <v>266</v>
      </c>
      <c r="D153" s="25" t="s">
        <v>185</v>
      </c>
      <c r="E153" s="25" t="s">
        <v>443</v>
      </c>
      <c r="F153" s="27" t="s">
        <v>388</v>
      </c>
    </row>
    <row r="154" spans="1:6" ht="21" x14ac:dyDescent="0.3">
      <c r="A154" s="34">
        <v>140</v>
      </c>
      <c r="B154" s="25" t="s">
        <v>267</v>
      </c>
      <c r="D154" s="25" t="s">
        <v>185</v>
      </c>
      <c r="E154" s="25" t="s">
        <v>443</v>
      </c>
      <c r="F154" s="27" t="s">
        <v>388</v>
      </c>
    </row>
    <row r="155" spans="1:6" ht="21" x14ac:dyDescent="0.3">
      <c r="A155" s="34">
        <v>141</v>
      </c>
      <c r="B155" s="25" t="s">
        <v>268</v>
      </c>
      <c r="D155" s="25" t="s">
        <v>185</v>
      </c>
      <c r="E155" s="25" t="s">
        <v>443</v>
      </c>
      <c r="F155" s="27" t="s">
        <v>388</v>
      </c>
    </row>
    <row r="156" spans="1:6" ht="28.8" x14ac:dyDescent="0.3">
      <c r="A156" s="34">
        <v>142</v>
      </c>
      <c r="B156" s="25" t="s">
        <v>269</v>
      </c>
      <c r="D156" s="25" t="s">
        <v>185</v>
      </c>
      <c r="E156" s="25" t="s">
        <v>443</v>
      </c>
      <c r="F156" s="27" t="s">
        <v>388</v>
      </c>
    </row>
    <row r="157" spans="1:6" ht="28.8" x14ac:dyDescent="0.3">
      <c r="A157" s="34">
        <v>143</v>
      </c>
      <c r="B157" s="25" t="s">
        <v>357</v>
      </c>
      <c r="D157" s="25" t="s">
        <v>185</v>
      </c>
      <c r="E157" s="25" t="s">
        <v>443</v>
      </c>
      <c r="F157" s="27" t="s">
        <v>388</v>
      </c>
    </row>
    <row r="158" spans="1:6" ht="28.8" x14ac:dyDescent="0.3">
      <c r="A158" s="34">
        <v>144</v>
      </c>
      <c r="B158" s="25" t="s">
        <v>270</v>
      </c>
      <c r="D158" s="25" t="s">
        <v>185</v>
      </c>
      <c r="E158" s="25" t="s">
        <v>443</v>
      </c>
      <c r="F158" s="27" t="s">
        <v>388</v>
      </c>
    </row>
    <row r="159" spans="1:6" ht="21" x14ac:dyDescent="0.3">
      <c r="A159" s="34">
        <v>145</v>
      </c>
      <c r="B159" s="25" t="s">
        <v>271</v>
      </c>
      <c r="D159" s="25" t="s">
        <v>185</v>
      </c>
      <c r="E159" s="25" t="s">
        <v>443</v>
      </c>
      <c r="F159" s="27" t="s">
        <v>388</v>
      </c>
    </row>
    <row r="160" spans="1:6" ht="28.8" x14ac:dyDescent="0.3">
      <c r="A160" s="34">
        <v>146</v>
      </c>
      <c r="B160" s="25" t="s">
        <v>358</v>
      </c>
      <c r="D160" s="25" t="s">
        <v>183</v>
      </c>
      <c r="E160" s="25" t="s">
        <v>443</v>
      </c>
      <c r="F160" s="27" t="s">
        <v>388</v>
      </c>
    </row>
    <row r="161" spans="1:6" ht="21" x14ac:dyDescent="0.3">
      <c r="A161" s="34">
        <v>147</v>
      </c>
      <c r="B161" s="25" t="s">
        <v>272</v>
      </c>
      <c r="D161" s="25" t="s">
        <v>183</v>
      </c>
      <c r="E161" s="25" t="s">
        <v>443</v>
      </c>
      <c r="F161" s="27" t="s">
        <v>388</v>
      </c>
    </row>
    <row r="162" spans="1:6" ht="21" x14ac:dyDescent="0.3">
      <c r="A162" s="34">
        <v>148</v>
      </c>
      <c r="B162" s="25" t="s">
        <v>359</v>
      </c>
      <c r="D162" s="25" t="s">
        <v>184</v>
      </c>
      <c r="E162" s="25" t="s">
        <v>443</v>
      </c>
      <c r="F162" s="27" t="s">
        <v>388</v>
      </c>
    </row>
  </sheetData>
  <autoFilter ref="A1:F162" xr:uid="{CAC4BA0F-CE14-4985-BAB4-71CCD9FA9D8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Tổng hợp toàn TP</vt:lpstr>
      <vt:lpstr>Danh mục dự án</vt:lpstr>
      <vt:lpstr>Khó khăn - Kiến nghị</vt:lpstr>
      <vt:lpstr>Chú thích - Căn cứ pháp lý</vt:lpstr>
      <vt:lpstr>DanhSachDonVi</vt:lpstr>
      <vt:lpstr>DanhSachDuAn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trọng dũng</cp:lastModifiedBy>
  <cp:revision>0</cp:revision>
  <dcterms:created xsi:type="dcterms:W3CDTF">2026-09-19T01:44:14Z</dcterms:created>
  <dcterms:modified xsi:type="dcterms:W3CDTF">2026-09-19T11:11:57Z</dcterms:modified>
  <dc:language>en-US</dc:language>
</cp:coreProperties>
</file>