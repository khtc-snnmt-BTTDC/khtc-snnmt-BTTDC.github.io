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hợp toàn TP" sheetId="1" state="visible" r:id="rId1"/>
    <sheet xmlns:r="http://schemas.openxmlformats.org/officeDocument/2006/relationships" name="Danh mục dự án" sheetId="2" state="visible" r:id="rId2"/>
    <sheet xmlns:r="http://schemas.openxmlformats.org/officeDocument/2006/relationships" name="Khó khăn - Kiến nghị" sheetId="3" state="visible" r:id="rId3"/>
    <sheet xmlns:r="http://schemas.openxmlformats.org/officeDocument/2006/relationships" name="Chú thích - Căn cứ pháp lý" sheetId="4" state="visible" r:id="rId4"/>
  </sheets>
  <definedNames>
    <definedName name="_xlnm._FilterDatabase" localSheetId="1" hidden="1">'Danh mục dự án'!$A$3:$AC$103</definedName>
    <definedName name="_xlnm._FilterDatabase" localSheetId="2" hidden="1">'Khó khăn - Kiến nghị'!$A$4:$J$63</definedName>
    <definedName name="_xlnm._FilterDatabase" localSheetId="3" hidden="1">'Chú thích - Căn cứ pháp lý'!$A$4:$E$21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F4E78"/>
      <sz val="14"/>
    </font>
    <font>
      <name val="Arial"/>
      <charset val="1"/>
      <family val="0"/>
      <b val="1"/>
      <sz val="10"/>
    </font>
    <font>
      <name val="Arial"/>
      <charset val="1"/>
      <family val="0"/>
      <color rgb="FF0000FF"/>
      <sz val="10"/>
    </font>
    <font>
      <name val="Arial"/>
      <charset val="1"/>
      <family val="0"/>
      <b val="1"/>
      <color rgb="FFFFFFFF"/>
      <sz val="10"/>
    </font>
    <font>
      <name val="Arial"/>
      <charset val="1"/>
      <family val="0"/>
      <sz val="10"/>
    </font>
    <font>
      <name val="Arial"/>
      <charset val="1"/>
      <family val="0"/>
      <b val="1"/>
      <color rgb="FF008000"/>
      <sz val="10"/>
    </font>
    <font>
      <name val="Arial"/>
      <charset val="1"/>
      <family val="0"/>
      <i val="1"/>
      <color rgb="FF595959"/>
      <sz val="10"/>
    </font>
    <font>
      <name val="Arial"/>
      <charset val="1"/>
      <family val="0"/>
      <color rgb="FF000000"/>
      <sz val="10"/>
    </font>
    <font>
      <name val="Arial"/>
      <family val="2"/>
      <sz val="10"/>
    </font>
  </fonts>
  <fills count="3">
    <fill>
      <patternFill/>
    </fill>
    <fill>
      <patternFill patternType="gray125"/>
    </fill>
    <fill>
      <patternFill patternType="solid">
        <fgColor rgb="FF1F4E78"/>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center" wrapText="1"/>
    </xf>
    <xf numFmtId="0" fontId="8" fillId="0" borderId="1" applyAlignment="1" pivotButton="0" quotePrefix="0" xfId="0">
      <alignment horizontal="general" vertical="top" wrapText="1"/>
    </xf>
    <xf numFmtId="3" fontId="9" fillId="0" borderId="1" applyAlignment="1" pivotButton="0" quotePrefix="0" xfId="0">
      <alignment horizontal="general" vertical="bottom"/>
    </xf>
    <xf numFmtId="0" fontId="10" fillId="0" borderId="1" applyAlignment="1" pivotButton="0" quotePrefix="0" xfId="0">
      <alignment horizontal="general" vertical="top" wrapText="1"/>
    </xf>
    <xf numFmtId="164" fontId="9" fillId="0" borderId="1" applyAlignment="1" pivotButton="0" quotePrefix="0" xfId="0">
      <alignment horizontal="general" vertical="bottom"/>
    </xf>
    <xf numFmtId="0" fontId="4" fillId="0" borderId="0" applyAlignment="1" pivotButton="0" quotePrefix="0" xfId="0">
      <alignment horizontal="general" vertical="bottom"/>
    </xf>
    <xf numFmtId="0" fontId="10" fillId="0" borderId="0" applyAlignment="1" pivotButton="0" quotePrefix="0" xfId="0">
      <alignment horizontal="general" vertical="bottom"/>
    </xf>
    <xf numFmtId="0" fontId="6" fillId="0" borderId="1" applyAlignment="1" pivotButton="0" quotePrefix="0" xfId="0">
      <alignment horizontal="general" vertical="center"/>
    </xf>
    <xf numFmtId="0" fontId="6" fillId="0" borderId="1" applyAlignment="1" pivotButton="0" quotePrefix="0" xfId="0">
      <alignment horizontal="general" vertical="center" wrapText="1"/>
    </xf>
    <xf numFmtId="3" fontId="6" fillId="0" borderId="1" applyAlignment="1" pivotButton="0" quotePrefix="0" xfId="0">
      <alignment horizontal="general" vertical="center"/>
    </xf>
    <xf numFmtId="164" fontId="11" fillId="0" borderId="1" applyAlignment="1" pivotButton="0" quotePrefix="0" xfId="0">
      <alignment horizontal="general" vertical="center"/>
    </xf>
    <xf numFmtId="165" fontId="6" fillId="0" borderId="1" applyAlignment="1" pivotButton="0" quotePrefix="0" xfId="0">
      <alignment horizontal="general" vertical="center"/>
    </xf>
    <xf numFmtId="1" fontId="11" fillId="0" borderId="1" applyAlignment="1" pivotButton="0" quotePrefix="0" xfId="0">
      <alignment horizontal="general" vertical="center"/>
    </xf>
    <xf numFmtId="0" fontId="8" fillId="0" borderId="1" applyAlignment="1" pivotButton="0" quotePrefix="0" xfId="0">
      <alignment horizontal="general" vertical="center" wrapText="1"/>
    </xf>
    <xf numFmtId="0" fontId="8" fillId="0" borderId="1" applyAlignment="1" pivotButton="0" quotePrefix="0" xfId="0">
      <alignment horizontal="general" vertical="bottom"/>
    </xf>
    <xf numFmtId="0" fontId="0" fillId="0" borderId="1" applyAlignment="1" pivotButton="0" quotePrefix="0" xfId="0">
      <alignment horizontal="general" vertical="bottom"/>
    </xf>
    <xf numFmtId="3" fontId="0" fillId="0" borderId="1" applyAlignment="1" pivotButton="0" quotePrefix="0" xfId="0">
      <alignment horizontal="general" vertical="bottom"/>
    </xf>
    <xf numFmtId="164" fontId="11" fillId="0" borderId="1" applyAlignment="1" pivotButton="0" quotePrefix="0" xfId="0">
      <alignment horizontal="general" vertical="bottom"/>
    </xf>
    <xf numFmtId="165" fontId="0" fillId="0" borderId="1" applyAlignment="1" pivotButton="0" quotePrefix="0" xfId="0">
      <alignment horizontal="general" vertical="bottom"/>
    </xf>
    <xf numFmtId="1" fontId="11" fillId="0" borderId="1" applyAlignment="1" pivotButton="0" quotePrefix="0" xfId="0">
      <alignment horizontal="general" vertical="bottom"/>
    </xf>
    <xf numFmtId="0" fontId="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center" wrapText="1"/>
    </xf>
    <xf numFmtId="0" fontId="8" fillId="0" borderId="1" applyAlignment="1" pivotButton="0" quotePrefix="0" xfId="0">
      <alignment horizontal="general" vertical="top" wrapText="1"/>
    </xf>
    <xf numFmtId="3" fontId="9" fillId="0" borderId="1" applyAlignment="1" pivotButton="0" quotePrefix="0" xfId="0">
      <alignment horizontal="general" vertical="bottom"/>
    </xf>
    <xf numFmtId="0" fontId="10" fillId="0" borderId="1" applyAlignment="1" pivotButton="0" quotePrefix="0" xfId="0">
      <alignment horizontal="general" vertical="top" wrapText="1"/>
    </xf>
    <xf numFmtId="164" fontId="9" fillId="0" borderId="1" applyAlignment="1" pivotButton="0" quotePrefix="0" xfId="0">
      <alignment horizontal="general" vertical="bottom"/>
    </xf>
    <xf numFmtId="0" fontId="10" fillId="0" borderId="0" applyAlignment="1" pivotButton="0" quotePrefix="0" xfId="0">
      <alignment horizontal="general" vertical="bottom"/>
    </xf>
    <xf numFmtId="0" fontId="6" fillId="0" borderId="1" applyAlignment="1" pivotButton="0" quotePrefix="0" xfId="0">
      <alignment horizontal="general" vertical="center"/>
    </xf>
    <xf numFmtId="0" fontId="6" fillId="0" borderId="1" applyAlignment="1" pivotButton="0" quotePrefix="0" xfId="0">
      <alignment horizontal="general" vertical="center" wrapText="1"/>
    </xf>
    <xf numFmtId="3" fontId="6" fillId="0" borderId="1" applyAlignment="1" pivotButton="0" quotePrefix="0" xfId="0">
      <alignment horizontal="general" vertical="center"/>
    </xf>
    <xf numFmtId="164" fontId="11" fillId="0" borderId="1" applyAlignment="1" pivotButton="0" quotePrefix="0" xfId="0">
      <alignment horizontal="general" vertical="center"/>
    </xf>
    <xf numFmtId="165" fontId="6" fillId="0" borderId="1" applyAlignment="1" pivotButton="0" quotePrefix="0" xfId="0">
      <alignment horizontal="general" vertical="center"/>
    </xf>
    <xf numFmtId="1" fontId="11" fillId="0" borderId="1" applyAlignment="1" pivotButton="0" quotePrefix="0" xfId="0">
      <alignment horizontal="general" vertical="center"/>
    </xf>
    <xf numFmtId="0" fontId="8" fillId="0" borderId="1" applyAlignment="1" pivotButton="0" quotePrefix="0" xfId="0">
      <alignment horizontal="general" vertical="center" wrapText="1"/>
    </xf>
    <xf numFmtId="0" fontId="8" fillId="0" borderId="1" applyAlignment="1" pivotButton="0" quotePrefix="0" xfId="0">
      <alignment horizontal="general" vertical="bottom"/>
    </xf>
    <xf numFmtId="0" fontId="0" fillId="0" borderId="1" applyAlignment="1" pivotButton="0" quotePrefix="0" xfId="0">
      <alignment horizontal="general" vertical="bottom"/>
    </xf>
    <xf numFmtId="3" fontId="0" fillId="0" borderId="1" applyAlignment="1" pivotButton="0" quotePrefix="0" xfId="0">
      <alignment horizontal="general" vertical="bottom"/>
    </xf>
    <xf numFmtId="164" fontId="11" fillId="0" borderId="1" applyAlignment="1" pivotButton="0" quotePrefix="0" xfId="0">
      <alignment horizontal="general" vertical="bottom"/>
    </xf>
    <xf numFmtId="165" fontId="0" fillId="0" borderId="1" applyAlignment="1" pivotButton="0" quotePrefix="0" xfId="0">
      <alignment horizontal="general" vertical="bottom"/>
    </xf>
    <xf numFmtId="1" fontId="11" fillId="0" borderId="1" applyAlignment="1" pivotButton="0" quotePrefix="0" xfId="0">
      <alignment horizontal="general" vertical="bottom"/>
    </xf>
    <xf numFmtId="0" fontId="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F4E78"/>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Unknown Author</author>
  </authors>
  <commentList>
    <comment ref="G3" authorId="0" shapeId="0">
      <text>
        <t>Diện tích theo phương án bồi thường/dự án được cấp thẩm quyền phê duyệt. Xem Sheet 'Chú thích' - mục 1.</t>
      </text>
    </comment>
    <comment ref="H3" authorId="0" shapeId="0">
      <text>
        <t>Chỉ tiêu quy định tại Thông tư 44/2026/TT-BTC, Mẫu số 03, mục II.1.2. Xem Sheet 'Chú thích' - mục 2.</t>
      </text>
    </comment>
    <comment ref="J3" authorId="0" shapeId="0">
      <text>
        <t>Mốc theo dõi theo trình tự bồi thường tại Nghị định 88/2024/NĐ-CP. Xem Sheet 'Chú thích' - mục 4.</t>
      </text>
    </comment>
    <comment ref="Q3" authorId="0" shapeId="0">
      <text>
        <t>Theo phương án bồi thường được duyệt - đối chiếu chỉ tiêu TT44/2026 Mẫu 03. Xem Sheet 'Chú thích' - mục 5.</t>
      </text>
    </comment>
    <comment ref="R3" authorId="0" shapeId="0">
      <text>
        <t>Chỉ tiêu quy định tại Thông tư 44/2026/TT-BTC, Mẫu số 03, mục II.1.2. Xem Sheet 'Chú thích' - mục 6.</t>
      </text>
    </comment>
    <comment ref="T3" authorId="0" shapeId="0">
      <text>
        <t>Theo dõi công tác tái định cư theo Nghị định 88/2024/NĐ-CP. Xem Sheet 'Chú thích' - mục 8.</t>
      </text>
    </comment>
    <comment ref="W3" authorId="0" shapeId="0">
      <text>
        <t>Kế hoạch vốn đầu tư công theo Luật Đầu tư công 58/2024/QH15 và Nghị định 85/2025/NĐ-CP. Xem Sheet 'Chú thích' - mục 9.</t>
      </text>
    </comment>
    <comment ref="Z3" authorId="0" shapeId="0">
      <text>
        <t>Tiến độ theo Quyết định phê duyệt dự án. Xem Sheet 'Chú thích' - mục 12.</t>
      </text>
    </comment>
    <comment ref="AC3" authorId="0" shapeId="0">
      <text>
        <t>Phân loại nội bộ phục vụ tổng hợp báo cáo. Xem Sheet 'Chú thích' - mục 15.</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tabColor rgb="FF1F4E78"/>
    <outlinePr summaryBelow="1" summaryRight="1"/>
    <pageSetUpPr fitToPage="0"/>
  </sheetPr>
  <dimension ref="A1:C19"/>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6" customWidth="1" style="25" min="1" max="1"/>
    <col width="16" customWidth="1" style="25" min="2" max="2"/>
    <col width="40" customWidth="1" style="25" min="3" max="3"/>
  </cols>
  <sheetData>
    <row r="1" ht="17.35" customHeight="1" s="26">
      <c r="A1" s="27" t="inlineStr">
        <is>
          <t>TỔNG HỢP TIẾN ĐỘ BỒI THƯỜNG, GPMB TOÀN THÀNH PHỐ</t>
        </is>
      </c>
    </row>
    <row r="2" ht="15" customHeight="1" s="26">
      <c r="A2" s="28" t="inlineStr">
        <is>
          <t>Kỳ báo cáo:</t>
        </is>
      </c>
      <c r="B2" s="29" t="inlineStr">
        <is>
          <t>Tháng .../20...</t>
        </is>
      </c>
    </row>
    <row r="4" ht="15" customHeight="1" s="26">
      <c r="A4" s="30" t="inlineStr">
        <is>
          <t>Chỉ tiêu</t>
        </is>
      </c>
      <c r="B4" s="30" t="inlineStr">
        <is>
          <t>Giá trị</t>
        </is>
      </c>
      <c r="C4" s="30" t="inlineStr">
        <is>
          <t>Nguồn / Ghi chú</t>
        </is>
      </c>
    </row>
    <row r="5" ht="15" customHeight="1" s="26">
      <c r="A5" s="31" t="inlineStr">
        <is>
          <t>Tổng số dự án đang theo dõi</t>
        </is>
      </c>
      <c r="B5" s="32">
        <f>COUNTA('Danh mục dự án'!B4:B103)</f>
        <v/>
      </c>
      <c r="C5" s="33" t="inlineStr">
        <is>
          <t>Đếm số dự án có tên tại Danh mục dự án</t>
        </is>
      </c>
    </row>
    <row r="6" ht="23.85" customHeight="1" s="26">
      <c r="A6" s="31" t="inlineStr">
        <is>
          <t>Trong đó - số dự án trọng điểm</t>
        </is>
      </c>
      <c r="B6" s="32">
        <f>COUNTIF('Danh mục dự án'!F4:F103,"Trọng điểm")</f>
        <v/>
      </c>
      <c r="C6" s="33" t="inlineStr">
        <is>
          <t>Theo Danh mục dự án trọng điểm UBND TP ban hành</t>
        </is>
      </c>
    </row>
    <row r="7" ht="15" customHeight="1" s="26">
      <c r="A7" s="31" t="inlineStr">
        <is>
          <t>Số dự án đã hoàn thành / cơ bản hoàn thành</t>
        </is>
      </c>
      <c r="B7" s="32">
        <f>COUNTIF('Danh mục dự án'!AA4:AA103,"Đã hoàn thành")+COUNTIF('Danh mục dự án'!AA4:AA103,"Cơ bản hoàn thành")</f>
        <v/>
      </c>
      <c r="C7" s="33" t="n"/>
    </row>
    <row r="8" ht="15" customHeight="1" s="26">
      <c r="A8" s="31" t="inlineStr">
        <is>
          <t>Số dự án đang triển khai</t>
        </is>
      </c>
      <c r="B8" s="32">
        <f>COUNTIF('Danh mục dự án'!AA4:AA103,"Đang triển khai")</f>
        <v/>
      </c>
      <c r="C8" s="33" t="n"/>
    </row>
    <row r="9" ht="15" customHeight="1" s="26">
      <c r="A9" s="31" t="inlineStr">
        <is>
          <t>Số dự án chưa triển khai</t>
        </is>
      </c>
      <c r="B9" s="32">
        <f>COUNTIF('Danh mục dự án'!AA4:AA103,"Chưa triển khai")</f>
        <v/>
      </c>
      <c r="C9" s="33" t="n"/>
    </row>
    <row r="10" ht="23.85" customHeight="1" s="26">
      <c r="A10" s="31" t="inlineStr">
        <is>
          <t>Số dự án chậm tiến độ so với kế hoạch</t>
        </is>
      </c>
      <c r="B10" s="32">
        <f>COUNTIF('Danh mục dự án'!Z4:Z103,"&gt;0")</f>
        <v/>
      </c>
      <c r="C10" s="33" t="inlineStr">
        <is>
          <t>Đếm dự án có Chênh lệch tiến độ (cột Z) &gt; 0 ngày</t>
        </is>
      </c>
    </row>
    <row r="11" ht="15" customHeight="1" s="26">
      <c r="A11" s="31" t="inlineStr">
        <is>
          <t>Tổng diện tích phải thu hồi toàn TP (m²)</t>
        </is>
      </c>
      <c r="B11" s="32">
        <f>SUM('Danh mục dự án'!G4:G103)</f>
        <v/>
      </c>
      <c r="C11" s="33" t="n"/>
    </row>
    <row r="12" ht="15" customHeight="1" s="26">
      <c r="A12" s="31" t="inlineStr">
        <is>
          <t>Tổng diện tích đã thu hồi, bàn giao (m²)</t>
        </is>
      </c>
      <c r="B12" s="32">
        <f>SUM('Danh mục dự án'!H4:H103)</f>
        <v/>
      </c>
      <c r="C12" s="33" t="inlineStr">
        <is>
          <t>TT44/2026/TT-BTC Mẫu số 03</t>
        </is>
      </c>
    </row>
    <row r="13" ht="15" customHeight="1" s="26">
      <c r="A13" s="31" t="inlineStr">
        <is>
          <t>Tỷ lệ % diện tích hoàn thành toàn TP</t>
        </is>
      </c>
      <c r="B13" s="34">
        <f>IFERROR(B12/B11,"")</f>
        <v/>
      </c>
      <c r="C13" s="33" t="n"/>
    </row>
    <row r="14" ht="23.85" customHeight="1" s="26">
      <c r="A14" s="31" t="inlineStr">
        <is>
          <t>Tổng giá trị bồi thường theo phương án duyệt (triệu đồng)</t>
        </is>
      </c>
      <c r="B14" s="32">
        <f>SUM('Danh mục dự án'!O4:O103)</f>
        <v/>
      </c>
      <c r="C14" s="33" t="n"/>
    </row>
    <row r="15" ht="15" customHeight="1" s="26">
      <c r="A15" s="31" t="inlineStr">
        <is>
          <t>Giá trị đã chi trả lũy kế toàn TP (triệu đồng)</t>
        </is>
      </c>
      <c r="B15" s="32">
        <f>SUM('Danh mục dự án'!P4:P103)</f>
        <v/>
      </c>
      <c r="C15" s="33" t="inlineStr">
        <is>
          <t>TT44/2026/TT-BTC Mẫu số 03</t>
        </is>
      </c>
    </row>
    <row r="16" ht="15" customHeight="1" s="26">
      <c r="A16" s="31" t="inlineStr">
        <is>
          <t>Tỷ lệ % giá trị bồi thường đã chi trả toàn TP</t>
        </is>
      </c>
      <c r="B16" s="34">
        <f>IFERROR(B15/B14,"")</f>
        <v/>
      </c>
      <c r="C16" s="33" t="n"/>
    </row>
    <row r="17" ht="23.85" customHeight="1" s="26">
      <c r="A17" s="31" t="inlineStr">
        <is>
          <t>Tổng kế hoạch vốn bồi thường, GPMB năm toàn TP (triệu đồng)</t>
        </is>
      </c>
      <c r="B17" s="32">
        <f>SUM('Danh mục dự án'!U4:U103)</f>
        <v/>
      </c>
      <c r="C17" s="33" t="inlineStr">
        <is>
          <t>Luật Đầu tư công 58/2024/QH15, NĐ 85/2025/NĐ-CP</t>
        </is>
      </c>
    </row>
    <row r="18" ht="15" customHeight="1" s="26">
      <c r="A18" s="31" t="inlineStr">
        <is>
          <t>Giá trị giải ngân lũy kế toàn TP (triệu đồng)</t>
        </is>
      </c>
      <c r="B18" s="32">
        <f>SUM('Danh mục dự án'!V4:V103)</f>
        <v/>
      </c>
      <c r="C18" s="33" t="n"/>
    </row>
    <row r="19" ht="15" customHeight="1" s="26">
      <c r="A19" s="31" t="inlineStr">
        <is>
          <t>Tỷ lệ % giải ngân vốn so với kế hoạch năm toàn TP</t>
        </is>
      </c>
      <c r="B19" s="34">
        <f>IFERROR(B18/B17,"")</f>
        <v/>
      </c>
      <c r="C19" s="33" t="n"/>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E75B6"/>
    <outlinePr summaryBelow="1" summaryRight="1"/>
    <pageSetUpPr fitToPage="0"/>
  </sheetPr>
  <dimension ref="A1:AE103"/>
  <sheetViews>
    <sheetView showFormulas="0" showGridLines="1" showRowColHeaders="1" showZeros="1" rightToLeft="0" tabSelected="0" showOutlineSymbols="1" defaultGridColor="1" view="normal" topLeftCell="A1" colorId="64" zoomScale="100" zoomScaleNormal="100" zoomScalePageLayoutView="100" workbookViewId="0">
      <pane xSplit="6" ySplit="3" topLeftCell="G4" activePane="bottomRight" state="frozen"/>
      <selection pane="topLeft" activeCell="A1" activeCellId="0" sqref="A1"/>
      <selection pane="topRight" activeCell="G1" activeCellId="0" sqref="G1"/>
      <selection pane="bottomLeft" activeCell="A4" activeCellId="0" sqref="A4"/>
      <selection pane="bottomRight" activeCell="A1" activeCellId="0" sqref="A1"/>
    </sheetView>
  </sheetViews>
  <sheetFormatPr baseColWidth="8" defaultColWidth="8.6796875" defaultRowHeight="15" zeroHeight="0" outlineLevelRow="0"/>
  <cols>
    <col width="6" customWidth="1" style="25" min="1" max="1"/>
    <col width="28" customWidth="1" style="25" min="2" max="2"/>
    <col width="20" customWidth="1" style="25" min="3" max="4"/>
    <col width="16" customWidth="1" style="25" min="5" max="5"/>
    <col width="12" customWidth="1" style="25" min="6" max="6"/>
    <col width="14" customWidth="1" style="25" min="7" max="8"/>
    <col width="12" customWidth="1" style="25" min="9" max="9"/>
    <col width="14" customWidth="1" style="25" min="10" max="10"/>
    <col width="13" customWidth="1" style="25" min="11" max="11"/>
    <col width="10" customWidth="1" style="25" min="12" max="12"/>
    <col width="14" customWidth="1" style="25" min="13" max="14"/>
    <col width="13" customWidth="1" style="26" min="14" max="14"/>
    <col width="12" customWidth="1" style="25" min="15" max="15"/>
    <col width="14" customWidth="1" style="25" min="16" max="16"/>
    <col width="16" customWidth="1" style="25" min="17" max="20"/>
    <col width="14" customWidth="1" style="26" min="18" max="18"/>
    <col width="12" customWidth="1" style="26" min="19" max="19"/>
    <col width="15" customWidth="1" style="25" min="21" max="22"/>
    <col width="15" customWidth="1" style="25" min="23" max="23"/>
    <col width="14" customWidth="1" style="25" min="24" max="25"/>
    <col width="12" customWidth="1" style="26" min="25" max="25"/>
    <col width="14" customWidth="1" style="25" min="26" max="26"/>
    <col width="14" customWidth="1" style="25" min="27" max="27"/>
    <col width="12" customWidth="1" style="25" min="28" max="28"/>
    <col width="14" customWidth="1" style="25" min="29" max="29"/>
    <col width="12" customWidth="1" style="26" min="30" max="30"/>
    <col width="22" customWidth="1" style="26" min="31" max="31"/>
  </cols>
  <sheetData>
    <row r="1" ht="17.35" customHeight="1" s="26">
      <c r="A1" s="27" t="inlineStr">
        <is>
          <t>THEO DÕI TIẾN ĐỘ BỒI THƯỜNG, HỖ TRỢ, TÁI ĐỊNH CƯ CÁC DỰ ÁN</t>
        </is>
      </c>
    </row>
    <row r="2" ht="15" customHeight="1" s="26">
      <c r="A2" s="35" t="inlineStr">
        <is>
          <t>Phòng Kế hoạch - Tài chính tổng hợp, báo cáo Ban Giám đốc Sở và UBND Thành phố. Ô chữ xanh dương là ví dụ minh họa (xóa trước khi dùng); các cột tỷ lệ %/chênh lệch tiến độ đã có sẵn công thức. Xem căn cứ pháp lý của từng cột tại Sheet 'Chú thích - Căn cứ pháp lý'.</t>
        </is>
      </c>
    </row>
    <row r="3" ht="42" customHeight="1" s="26">
      <c r="A3" s="30" t="inlineStr">
        <is>
          <t>STT</t>
        </is>
      </c>
      <c r="B3" s="30" t="inlineStr">
        <is>
          <t>Tên dự án</t>
        </is>
      </c>
      <c r="C3" s="30" t="inlineStr">
        <is>
          <t>Dự án thành phần
(nếu có)</t>
        </is>
      </c>
      <c r="D3" s="30" t="inlineStr">
        <is>
          <t>Chủ đầu tư /
Đơn vị GPMB</t>
        </is>
      </c>
      <c r="E3" s="30" t="inlineStr">
        <is>
          <t>Địa bàn
(Phường/Xã)</t>
        </is>
      </c>
      <c r="F3" s="30" t="inlineStr">
        <is>
          <t>Nhóm dự án</t>
        </is>
      </c>
      <c r="G3" s="30" t="inlineStr">
        <is>
          <t>Tổng diện tích
phải thu hồi (m²)</t>
        </is>
      </c>
      <c r="H3" s="30" t="inlineStr">
        <is>
          <t>Diện tích đã thu hồi,
bàn giao (m²)</t>
        </is>
      </c>
      <c r="I3" s="30" t="inlineStr">
        <is>
          <t>Tỷ lệ %
hoàn thành diện tích</t>
        </is>
      </c>
      <c r="J3" s="30" t="inlineStr">
        <is>
          <t>Tổng số hộ/tổ chức
thuộc diện thu hồi đất</t>
        </is>
      </c>
      <c r="K3" s="30" t="inlineStr">
        <is>
          <t>Số đã có
TB thu hồi đất</t>
        </is>
      </c>
      <c r="L3" s="30" t="inlineStr">
        <is>
          <t>Số đã
kiểm đếm</t>
        </is>
      </c>
      <c r="M3" s="30" t="inlineStr">
        <is>
          <t>Số đã có phương án
bồi thường được duyệt</t>
        </is>
      </c>
      <c r="N3" s="30" t="inlineStr">
        <is>
          <t>Số đã
công khai PA</t>
        </is>
      </c>
      <c r="O3" s="30" t="inlineStr">
        <is>
          <t>Số đã nhận
tiền bồi thường</t>
        </is>
      </c>
      <c r="P3" s="30" t="inlineStr">
        <is>
          <t>Số đã bàn giao
mặt bằng</t>
        </is>
      </c>
      <c r="Q3" s="30" t="inlineStr">
        <is>
          <t>Tổng giá trị bồi thường,
hỗ trợ theo phương án duyệt
(triệu đồng)</t>
        </is>
      </c>
      <c r="R3" s="30" t="inlineStr">
        <is>
          <t>Giá trị đã chi trả
lũy kế (triệu đồng)</t>
        </is>
      </c>
      <c r="S3" s="30" t="inlineStr">
        <is>
          <t>Tỷ lệ % giá trị
đã chi trả</t>
        </is>
      </c>
      <c r="T3" s="30" t="inlineStr">
        <is>
          <t>Số hộ thuộc diện
tái định cư</t>
        </is>
      </c>
      <c r="U3" s="30" t="inlineStr">
        <is>
          <t>Số đã bố trí
nền/căn hộ TĐC</t>
        </is>
      </c>
      <c r="V3" s="30" t="inlineStr">
        <is>
          <t>Số còn lại
chưa bố trí TĐC</t>
        </is>
      </c>
      <c r="W3" s="30" t="inlineStr">
        <is>
          <t>Kế hoạch vốn bồi thường,
GPMB năm (triệu đồng)</t>
        </is>
      </c>
      <c r="X3" s="30" t="inlineStr">
        <is>
          <t>Giá trị giải ngân
lũy kế trong năm (triệu đồng)</t>
        </is>
      </c>
      <c r="Y3" s="30" t="inlineStr">
        <is>
          <t>Tỷ lệ % giải ngân vốn
so với KH năm</t>
        </is>
      </c>
      <c r="Z3" s="30" t="inlineStr">
        <is>
          <t>Mốc hoàn thành GPMB
theo kế hoạch</t>
        </is>
      </c>
      <c r="AA3" s="30" t="inlineStr">
        <is>
          <t>Ngày hoàn thành
thực tế/dự kiến</t>
        </is>
      </c>
      <c r="AB3" s="30" t="inlineStr">
        <is>
          <t>Chênh lệch
tiến độ (ngày)</t>
        </is>
      </c>
      <c r="AC3" s="30" t="inlineStr">
        <is>
          <t>Tình trạng
tổng thể</t>
        </is>
      </c>
      <c r="AD3" s="30" t="inlineStr">
        <is>
          <t>Kỳ báo cáo</t>
        </is>
      </c>
      <c r="AE3" s="30" t="inlineStr">
        <is>
          <t>Ghi chú</t>
        </is>
      </c>
    </row>
    <row r="4" ht="35.05" customHeight="1" s="26">
      <c r="A4" s="36" t="n">
        <v>1</v>
      </c>
      <c r="B4" s="37" t="inlineStr">
        <is>
          <t>DATP 1-5 Bồi thường, TĐC và xây dựng đường gom - đường Vành đai 4 TP.HCM</t>
        </is>
      </c>
      <c r="C4" s="37" t="inlineStr">
        <is>
          <t>DATP 1-5</t>
        </is>
      </c>
      <c r="D4" s="37" t="inlineStr">
        <is>
          <t>Ban Bồi thường, GPMB TP.HCM</t>
        </is>
      </c>
      <c r="E4" s="36" t="inlineStr">
        <is>
          <t>Củ Chi</t>
        </is>
      </c>
      <c r="F4" s="36" t="inlineStr">
        <is>
          <t>Trọng điểm</t>
        </is>
      </c>
      <c r="G4" s="38" t="n">
        <v>850000</v>
      </c>
      <c r="H4" s="38" t="n">
        <v>320000</v>
      </c>
      <c r="I4" s="39">
        <f>IFERROR(H4/G4,"")</f>
        <v/>
      </c>
      <c r="J4" s="38" t="n">
        <v>4200</v>
      </c>
      <c r="K4" s="38" t="n">
        <v>4000</v>
      </c>
      <c r="L4" s="38" t="n">
        <v>3900</v>
      </c>
      <c r="M4" s="38" t="n">
        <v>3600</v>
      </c>
      <c r="N4" s="38" t="n">
        <v>3400</v>
      </c>
      <c r="O4" s="38" t="n">
        <v>3100</v>
      </c>
      <c r="P4" s="38" t="n">
        <v>2800</v>
      </c>
      <c r="Q4" s="38" t="n">
        <v>4500000</v>
      </c>
      <c r="R4" s="38" t="n">
        <v>1750000</v>
      </c>
      <c r="S4" s="39">
        <f>IFERROR(R4/Q4,"")</f>
        <v/>
      </c>
      <c r="T4" s="38" t="n">
        <v>1500</v>
      </c>
      <c r="U4" s="38" t="n">
        <v>900</v>
      </c>
      <c r="V4" s="38" t="n">
        <v>600</v>
      </c>
      <c r="W4" s="38" t="n">
        <v>2000000</v>
      </c>
      <c r="X4" s="38" t="n">
        <v>950000</v>
      </c>
      <c r="Y4" s="39">
        <f>IFERROR(X4/W4,"")</f>
        <v/>
      </c>
      <c r="Z4" s="40" t="n">
        <v>46752</v>
      </c>
      <c r="AA4" s="40" t="n">
        <v>46843</v>
      </c>
      <c r="AB4" s="41">
        <f>IFERROR(AA4-Z4,"")</f>
        <v/>
      </c>
      <c r="AC4" s="36" t="inlineStr">
        <is>
          <t>Đang triển khai</t>
        </is>
      </c>
      <c r="AD4" s="36" t="inlineStr">
        <is>
          <t>09/2026</t>
        </is>
      </c>
      <c r="AE4" s="37" t="inlineStr">
        <is>
          <t>Ví dụ minh họa - xóa trước khi nhập số liệu thật</t>
        </is>
      </c>
    </row>
    <row r="5" ht="23.85" customHeight="1" s="26">
      <c r="A5" s="36" t="n">
        <v>2</v>
      </c>
      <c r="B5" s="37" t="inlineStr">
        <is>
          <t>Cải tạo rạch Xuyên Tâm</t>
        </is>
      </c>
      <c r="C5" s="42" t="n"/>
      <c r="D5" s="37" t="inlineStr">
        <is>
          <t>Ban Bồi thường, GPMB TP.HCM</t>
        </is>
      </c>
      <c r="E5" s="36" t="inlineStr">
        <is>
          <t>Bình Thạnh</t>
        </is>
      </c>
      <c r="F5" s="36" t="inlineStr">
        <is>
          <t>Trọng điểm</t>
        </is>
      </c>
      <c r="G5" s="38" t="n">
        <v>120000</v>
      </c>
      <c r="H5" s="38" t="n">
        <v>118000</v>
      </c>
      <c r="I5" s="39">
        <f>IFERROR(H5/G5,"")</f>
        <v/>
      </c>
      <c r="J5" s="38" t="n">
        <v>1850</v>
      </c>
      <c r="K5" s="38" t="n">
        <v>1850</v>
      </c>
      <c r="L5" s="38" t="n">
        <v>1850</v>
      </c>
      <c r="M5" s="38" t="n">
        <v>1820</v>
      </c>
      <c r="N5" s="38" t="n">
        <v>1810</v>
      </c>
      <c r="O5" s="38" t="n">
        <v>1800</v>
      </c>
      <c r="P5" s="38" t="n">
        <v>1780</v>
      </c>
      <c r="Q5" s="38" t="n">
        <v>980000</v>
      </c>
      <c r="R5" s="38" t="n">
        <v>940000</v>
      </c>
      <c r="S5" s="39">
        <f>IFERROR(R5/Q5,"")</f>
        <v/>
      </c>
      <c r="T5" s="38" t="n">
        <v>700</v>
      </c>
      <c r="U5" s="38" t="n">
        <v>690</v>
      </c>
      <c r="V5" s="38" t="n">
        <v>10</v>
      </c>
      <c r="W5" s="38" t="n">
        <v>500000</v>
      </c>
      <c r="X5" s="38" t="n">
        <v>470000</v>
      </c>
      <c r="Y5" s="39">
        <f>IFERROR(X5/W5,"")</f>
        <v/>
      </c>
      <c r="Z5" s="40" t="n">
        <v>46203</v>
      </c>
      <c r="AA5" s="40" t="n">
        <v>46254</v>
      </c>
      <c r="AB5" s="41">
        <f>IFERROR(AA5-Z5,"")</f>
        <v/>
      </c>
      <c r="AC5" s="36" t="inlineStr">
        <is>
          <t>Cơ bản hoàn thành</t>
        </is>
      </c>
      <c r="AD5" s="36" t="inlineStr">
        <is>
          <t>09/2026</t>
        </is>
      </c>
      <c r="AE5" s="37" t="inlineStr">
        <is>
          <t>Ví dụ minh họa - xóa trước khi nhập số liệu thật</t>
        </is>
      </c>
    </row>
    <row r="6" ht="15" customHeight="1" s="26">
      <c r="A6" s="43" t="n">
        <v>3</v>
      </c>
      <c r="B6" s="44" t="n"/>
      <c r="C6" s="44" t="n"/>
      <c r="D6" s="44" t="n"/>
      <c r="E6" s="44" t="n"/>
      <c r="F6" s="44" t="n"/>
      <c r="G6" s="45" t="n"/>
      <c r="H6" s="45" t="n"/>
      <c r="I6" s="46">
        <f>IFERROR(H6/G6,"")</f>
        <v/>
      </c>
      <c r="J6" s="45" t="n"/>
      <c r="K6" s="45" t="n"/>
      <c r="L6" s="45" t="n"/>
      <c r="M6" s="45" t="n"/>
      <c r="N6" s="45" t="n"/>
      <c r="O6" s="45" t="n"/>
      <c r="P6" s="45" t="n"/>
      <c r="Q6" s="45" t="n"/>
      <c r="R6" s="45" t="n"/>
      <c r="S6" s="46">
        <f>IFERROR(R6/Q6,"")</f>
        <v/>
      </c>
      <c r="T6" s="45" t="n"/>
      <c r="U6" s="45" t="n"/>
      <c r="V6" s="45" t="n"/>
      <c r="W6" s="45" t="n"/>
      <c r="X6" s="45" t="n"/>
      <c r="Y6" s="46">
        <f>IFERROR(X6/W6,"")</f>
        <v/>
      </c>
      <c r="Z6" s="47" t="n"/>
      <c r="AA6" s="47" t="n"/>
      <c r="AB6" s="48">
        <f>IFERROR(AA6-Z6,"")</f>
        <v/>
      </c>
      <c r="AC6" s="44" t="n"/>
      <c r="AD6" s="44" t="n"/>
      <c r="AE6" s="44" t="n"/>
    </row>
    <row r="7" ht="15" customHeight="1" s="26">
      <c r="A7" s="43" t="n">
        <v>4</v>
      </c>
      <c r="B7" s="44" t="n"/>
      <c r="C7" s="44" t="n"/>
      <c r="D7" s="44" t="n"/>
      <c r="E7" s="44" t="n"/>
      <c r="F7" s="44" t="n"/>
      <c r="G7" s="45" t="n"/>
      <c r="H7" s="45" t="n"/>
      <c r="I7" s="46">
        <f>IFERROR(H7/G7,"")</f>
        <v/>
      </c>
      <c r="J7" s="45" t="n"/>
      <c r="K7" s="45" t="n"/>
      <c r="L7" s="45" t="n"/>
      <c r="M7" s="45" t="n"/>
      <c r="N7" s="45" t="n"/>
      <c r="O7" s="45" t="n"/>
      <c r="P7" s="45" t="n"/>
      <c r="Q7" s="45" t="n"/>
      <c r="R7" s="45" t="n"/>
      <c r="S7" s="46">
        <f>IFERROR(R7/Q7,"")</f>
        <v/>
      </c>
      <c r="T7" s="45" t="n"/>
      <c r="U7" s="45" t="n"/>
      <c r="V7" s="45" t="n"/>
      <c r="W7" s="45" t="n"/>
      <c r="X7" s="45" t="n"/>
      <c r="Y7" s="46">
        <f>IFERROR(X7/W7,"")</f>
        <v/>
      </c>
      <c r="Z7" s="47" t="n"/>
      <c r="AA7" s="47" t="n"/>
      <c r="AB7" s="48">
        <f>IFERROR(AA7-Z7,"")</f>
        <v/>
      </c>
      <c r="AC7" s="44" t="n"/>
      <c r="AD7" s="44" t="n"/>
      <c r="AE7" s="44" t="n"/>
    </row>
    <row r="8" ht="15" customHeight="1" s="26">
      <c r="A8" s="43" t="n">
        <v>5</v>
      </c>
      <c r="B8" s="44" t="n"/>
      <c r="C8" s="44" t="n"/>
      <c r="D8" s="44" t="n"/>
      <c r="E8" s="44" t="n"/>
      <c r="F8" s="44" t="n"/>
      <c r="G8" s="45" t="n"/>
      <c r="H8" s="45" t="n"/>
      <c r="I8" s="46">
        <f>IFERROR(H8/G8,"")</f>
        <v/>
      </c>
      <c r="J8" s="45" t="n"/>
      <c r="K8" s="45" t="n"/>
      <c r="L8" s="45" t="n"/>
      <c r="M8" s="45" t="n"/>
      <c r="N8" s="45" t="n"/>
      <c r="O8" s="45" t="n"/>
      <c r="P8" s="45" t="n"/>
      <c r="Q8" s="45" t="n"/>
      <c r="R8" s="45" t="n"/>
      <c r="S8" s="46">
        <f>IFERROR(R8/Q8,"")</f>
        <v/>
      </c>
      <c r="T8" s="45" t="n"/>
      <c r="U8" s="45" t="n"/>
      <c r="V8" s="45" t="n"/>
      <c r="W8" s="45" t="n"/>
      <c r="X8" s="45" t="n"/>
      <c r="Y8" s="46">
        <f>IFERROR(X8/W8,"")</f>
        <v/>
      </c>
      <c r="Z8" s="47" t="n"/>
      <c r="AA8" s="47" t="n"/>
      <c r="AB8" s="48">
        <f>IFERROR(AA8-Z8,"")</f>
        <v/>
      </c>
      <c r="AC8" s="44" t="n"/>
      <c r="AD8" s="44" t="n"/>
      <c r="AE8" s="44" t="n"/>
    </row>
    <row r="9" ht="15" customHeight="1" s="26">
      <c r="A9" s="43" t="n">
        <v>6</v>
      </c>
      <c r="B9" s="44" t="n"/>
      <c r="C9" s="44" t="n"/>
      <c r="D9" s="44" t="n"/>
      <c r="E9" s="44" t="n"/>
      <c r="F9" s="44" t="n"/>
      <c r="G9" s="45" t="n"/>
      <c r="H9" s="45" t="n"/>
      <c r="I9" s="46">
        <f>IFERROR(H9/G9,"")</f>
        <v/>
      </c>
      <c r="J9" s="45" t="n"/>
      <c r="K9" s="45" t="n"/>
      <c r="L9" s="45" t="n"/>
      <c r="M9" s="45" t="n"/>
      <c r="N9" s="45" t="n"/>
      <c r="O9" s="45" t="n"/>
      <c r="P9" s="45" t="n"/>
      <c r="Q9" s="45" t="n"/>
      <c r="R9" s="45" t="n"/>
      <c r="S9" s="46">
        <f>IFERROR(R9/Q9,"")</f>
        <v/>
      </c>
      <c r="T9" s="45" t="n"/>
      <c r="U9" s="45" t="n"/>
      <c r="V9" s="45" t="n"/>
      <c r="W9" s="45" t="n"/>
      <c r="X9" s="45" t="n"/>
      <c r="Y9" s="46">
        <f>IFERROR(X9/W9,"")</f>
        <v/>
      </c>
      <c r="Z9" s="47" t="n"/>
      <c r="AA9" s="47" t="n"/>
      <c r="AB9" s="48">
        <f>IFERROR(AA9-Z9,"")</f>
        <v/>
      </c>
      <c r="AC9" s="44" t="n"/>
      <c r="AD9" s="44" t="n"/>
      <c r="AE9" s="44" t="n"/>
    </row>
    <row r="10" ht="15" customHeight="1" s="26">
      <c r="A10" s="43" t="n">
        <v>7</v>
      </c>
      <c r="B10" s="44" t="n"/>
      <c r="C10" s="44" t="n"/>
      <c r="D10" s="44" t="n"/>
      <c r="E10" s="44" t="n"/>
      <c r="F10" s="44" t="n"/>
      <c r="G10" s="45" t="n"/>
      <c r="H10" s="45" t="n"/>
      <c r="I10" s="46">
        <f>IFERROR(H10/G10,"")</f>
        <v/>
      </c>
      <c r="J10" s="45" t="n"/>
      <c r="K10" s="45" t="n"/>
      <c r="L10" s="45" t="n"/>
      <c r="M10" s="45" t="n"/>
      <c r="N10" s="45" t="n"/>
      <c r="O10" s="45" t="n"/>
      <c r="P10" s="45" t="n"/>
      <c r="Q10" s="45" t="n"/>
      <c r="R10" s="45" t="n"/>
      <c r="S10" s="46">
        <f>IFERROR(R10/Q10,"")</f>
        <v/>
      </c>
      <c r="T10" s="45" t="n"/>
      <c r="U10" s="45" t="n"/>
      <c r="V10" s="45" t="n"/>
      <c r="W10" s="45" t="n"/>
      <c r="X10" s="45" t="n"/>
      <c r="Y10" s="46">
        <f>IFERROR(X10/W10,"")</f>
        <v/>
      </c>
      <c r="Z10" s="47" t="n"/>
      <c r="AA10" s="47" t="n"/>
      <c r="AB10" s="48">
        <f>IFERROR(AA10-Z10,"")</f>
        <v/>
      </c>
      <c r="AC10" s="44" t="n"/>
      <c r="AD10" s="44" t="n"/>
      <c r="AE10" s="44" t="n"/>
    </row>
    <row r="11" ht="15" customHeight="1" s="26">
      <c r="A11" s="43" t="n">
        <v>8</v>
      </c>
      <c r="B11" s="44" t="n"/>
      <c r="C11" s="44" t="n"/>
      <c r="D11" s="44" t="n"/>
      <c r="E11" s="44" t="n"/>
      <c r="F11" s="44" t="n"/>
      <c r="G11" s="45" t="n"/>
      <c r="H11" s="45" t="n"/>
      <c r="I11" s="46">
        <f>IFERROR(H11/G11,"")</f>
        <v/>
      </c>
      <c r="J11" s="45" t="n"/>
      <c r="K11" s="45" t="n"/>
      <c r="L11" s="45" t="n"/>
      <c r="M11" s="45" t="n"/>
      <c r="N11" s="45" t="n"/>
      <c r="O11" s="45" t="n"/>
      <c r="P11" s="45" t="n"/>
      <c r="Q11" s="45" t="n"/>
      <c r="R11" s="45" t="n"/>
      <c r="S11" s="46">
        <f>IFERROR(R11/Q11,"")</f>
        <v/>
      </c>
      <c r="T11" s="45" t="n"/>
      <c r="U11" s="45" t="n"/>
      <c r="V11" s="45" t="n"/>
      <c r="W11" s="45" t="n"/>
      <c r="X11" s="45" t="n"/>
      <c r="Y11" s="46">
        <f>IFERROR(X11/W11,"")</f>
        <v/>
      </c>
      <c r="Z11" s="47" t="n"/>
      <c r="AA11" s="47" t="n"/>
      <c r="AB11" s="48">
        <f>IFERROR(AA11-Z11,"")</f>
        <v/>
      </c>
      <c r="AC11" s="44" t="n"/>
      <c r="AD11" s="44" t="n"/>
      <c r="AE11" s="44" t="n"/>
    </row>
    <row r="12" ht="15" customHeight="1" s="26">
      <c r="A12" s="43" t="n">
        <v>9</v>
      </c>
      <c r="B12" s="44" t="n"/>
      <c r="C12" s="44" t="n"/>
      <c r="D12" s="44" t="n"/>
      <c r="E12" s="44" t="n"/>
      <c r="F12" s="44" t="n"/>
      <c r="G12" s="45" t="n"/>
      <c r="H12" s="45" t="n"/>
      <c r="I12" s="46">
        <f>IFERROR(H12/G12,"")</f>
        <v/>
      </c>
      <c r="J12" s="45" t="n"/>
      <c r="K12" s="45" t="n"/>
      <c r="L12" s="45" t="n"/>
      <c r="M12" s="45" t="n"/>
      <c r="N12" s="45" t="n"/>
      <c r="O12" s="45" t="n"/>
      <c r="P12" s="45" t="n"/>
      <c r="Q12" s="45" t="n"/>
      <c r="R12" s="45" t="n"/>
      <c r="S12" s="46">
        <f>IFERROR(R12/Q12,"")</f>
        <v/>
      </c>
      <c r="T12" s="45" t="n"/>
      <c r="U12" s="45" t="n"/>
      <c r="V12" s="45" t="n"/>
      <c r="W12" s="45" t="n"/>
      <c r="X12" s="45" t="n"/>
      <c r="Y12" s="46">
        <f>IFERROR(X12/W12,"")</f>
        <v/>
      </c>
      <c r="Z12" s="47" t="n"/>
      <c r="AA12" s="47" t="n"/>
      <c r="AB12" s="48">
        <f>IFERROR(AA12-Z12,"")</f>
        <v/>
      </c>
      <c r="AC12" s="44" t="n"/>
      <c r="AD12" s="44" t="n"/>
      <c r="AE12" s="44" t="n"/>
    </row>
    <row r="13" ht="15" customHeight="1" s="26">
      <c r="A13" s="43" t="n">
        <v>10</v>
      </c>
      <c r="B13" s="44" t="n"/>
      <c r="C13" s="44" t="n"/>
      <c r="D13" s="44" t="n"/>
      <c r="E13" s="44" t="n"/>
      <c r="F13" s="44" t="n"/>
      <c r="G13" s="45" t="n"/>
      <c r="H13" s="45" t="n"/>
      <c r="I13" s="46">
        <f>IFERROR(H13/G13,"")</f>
        <v/>
      </c>
      <c r="J13" s="45" t="n"/>
      <c r="K13" s="45" t="n"/>
      <c r="L13" s="45" t="n"/>
      <c r="M13" s="45" t="n"/>
      <c r="N13" s="45" t="n"/>
      <c r="O13" s="45" t="n"/>
      <c r="P13" s="45" t="n"/>
      <c r="Q13" s="45" t="n"/>
      <c r="R13" s="45" t="n"/>
      <c r="S13" s="46">
        <f>IFERROR(R13/Q13,"")</f>
        <v/>
      </c>
      <c r="T13" s="45" t="n"/>
      <c r="U13" s="45" t="n"/>
      <c r="V13" s="45" t="n"/>
      <c r="W13" s="45" t="n"/>
      <c r="X13" s="45" t="n"/>
      <c r="Y13" s="46">
        <f>IFERROR(X13/W13,"")</f>
        <v/>
      </c>
      <c r="Z13" s="47" t="n"/>
      <c r="AA13" s="47" t="n"/>
      <c r="AB13" s="48">
        <f>IFERROR(AA13-Z13,"")</f>
        <v/>
      </c>
      <c r="AC13" s="44" t="n"/>
      <c r="AD13" s="44" t="n"/>
      <c r="AE13" s="44" t="n"/>
    </row>
    <row r="14" ht="15" customHeight="1" s="26">
      <c r="A14" s="43" t="n">
        <v>11</v>
      </c>
      <c r="B14" s="44" t="n"/>
      <c r="C14" s="44" t="n"/>
      <c r="D14" s="44" t="n"/>
      <c r="E14" s="44" t="n"/>
      <c r="F14" s="44" t="n"/>
      <c r="G14" s="45" t="n"/>
      <c r="H14" s="45" t="n"/>
      <c r="I14" s="46">
        <f>IFERROR(H14/G14,"")</f>
        <v/>
      </c>
      <c r="J14" s="45" t="n"/>
      <c r="K14" s="45" t="n"/>
      <c r="L14" s="45" t="n"/>
      <c r="M14" s="45" t="n"/>
      <c r="N14" s="45" t="n"/>
      <c r="O14" s="45" t="n"/>
      <c r="P14" s="45" t="n"/>
      <c r="Q14" s="45" t="n"/>
      <c r="R14" s="45" t="n"/>
      <c r="S14" s="46">
        <f>IFERROR(R14/Q14,"")</f>
        <v/>
      </c>
      <c r="T14" s="45" t="n"/>
      <c r="U14" s="45" t="n"/>
      <c r="V14" s="45" t="n"/>
      <c r="W14" s="45" t="n"/>
      <c r="X14" s="45" t="n"/>
      <c r="Y14" s="46">
        <f>IFERROR(X14/W14,"")</f>
        <v/>
      </c>
      <c r="Z14" s="47" t="n"/>
      <c r="AA14" s="47" t="n"/>
      <c r="AB14" s="48">
        <f>IFERROR(AA14-Z14,"")</f>
        <v/>
      </c>
      <c r="AC14" s="44" t="n"/>
      <c r="AD14" s="44" t="n"/>
      <c r="AE14" s="44" t="n"/>
    </row>
    <row r="15" ht="15" customHeight="1" s="26">
      <c r="A15" s="43" t="n">
        <v>12</v>
      </c>
      <c r="B15" s="44" t="n"/>
      <c r="C15" s="44" t="n"/>
      <c r="D15" s="44" t="n"/>
      <c r="E15" s="44" t="n"/>
      <c r="F15" s="44" t="n"/>
      <c r="G15" s="45" t="n"/>
      <c r="H15" s="45" t="n"/>
      <c r="I15" s="46">
        <f>IFERROR(H15/G15,"")</f>
        <v/>
      </c>
      <c r="J15" s="45" t="n"/>
      <c r="K15" s="45" t="n"/>
      <c r="L15" s="45" t="n"/>
      <c r="M15" s="45" t="n"/>
      <c r="N15" s="45" t="n"/>
      <c r="O15" s="45" t="n"/>
      <c r="P15" s="45" t="n"/>
      <c r="Q15" s="45" t="n"/>
      <c r="R15" s="45" t="n"/>
      <c r="S15" s="46">
        <f>IFERROR(R15/Q15,"")</f>
        <v/>
      </c>
      <c r="T15" s="45" t="n"/>
      <c r="U15" s="45" t="n"/>
      <c r="V15" s="45" t="n"/>
      <c r="W15" s="45" t="n"/>
      <c r="X15" s="45" t="n"/>
      <c r="Y15" s="46">
        <f>IFERROR(X15/W15,"")</f>
        <v/>
      </c>
      <c r="Z15" s="47" t="n"/>
      <c r="AA15" s="47" t="n"/>
      <c r="AB15" s="48">
        <f>IFERROR(AA15-Z15,"")</f>
        <v/>
      </c>
      <c r="AC15" s="44" t="n"/>
      <c r="AD15" s="44" t="n"/>
      <c r="AE15" s="44" t="n"/>
    </row>
    <row r="16" ht="15" customHeight="1" s="26">
      <c r="A16" s="43" t="n">
        <v>13</v>
      </c>
      <c r="B16" s="44" t="n"/>
      <c r="C16" s="44" t="n"/>
      <c r="D16" s="44" t="n"/>
      <c r="E16" s="44" t="n"/>
      <c r="F16" s="44" t="n"/>
      <c r="G16" s="45" t="n"/>
      <c r="H16" s="45" t="n"/>
      <c r="I16" s="46">
        <f>IFERROR(H16/G16,"")</f>
        <v/>
      </c>
      <c r="J16" s="45" t="n"/>
      <c r="K16" s="45" t="n"/>
      <c r="L16" s="45" t="n"/>
      <c r="M16" s="45" t="n"/>
      <c r="N16" s="45" t="n"/>
      <c r="O16" s="45" t="n"/>
      <c r="P16" s="45" t="n"/>
      <c r="Q16" s="45" t="n"/>
      <c r="R16" s="45" t="n"/>
      <c r="S16" s="46">
        <f>IFERROR(R16/Q16,"")</f>
        <v/>
      </c>
      <c r="T16" s="45" t="n"/>
      <c r="U16" s="45" t="n"/>
      <c r="V16" s="45" t="n"/>
      <c r="W16" s="45" t="n"/>
      <c r="X16" s="45" t="n"/>
      <c r="Y16" s="46">
        <f>IFERROR(X16/W16,"")</f>
        <v/>
      </c>
      <c r="Z16" s="47" t="n"/>
      <c r="AA16" s="47" t="n"/>
      <c r="AB16" s="48">
        <f>IFERROR(AA16-Z16,"")</f>
        <v/>
      </c>
      <c r="AC16" s="44" t="n"/>
      <c r="AD16" s="44" t="n"/>
      <c r="AE16" s="44" t="n"/>
    </row>
    <row r="17" ht="15" customHeight="1" s="26">
      <c r="A17" s="43" t="n">
        <v>14</v>
      </c>
      <c r="B17" s="44" t="n"/>
      <c r="C17" s="44" t="n"/>
      <c r="D17" s="44" t="n"/>
      <c r="E17" s="44" t="n"/>
      <c r="F17" s="44" t="n"/>
      <c r="G17" s="45" t="n"/>
      <c r="H17" s="45" t="n"/>
      <c r="I17" s="46">
        <f>IFERROR(H17/G17,"")</f>
        <v/>
      </c>
      <c r="J17" s="45" t="n"/>
      <c r="K17" s="45" t="n"/>
      <c r="L17" s="45" t="n"/>
      <c r="M17" s="45" t="n"/>
      <c r="N17" s="45" t="n"/>
      <c r="O17" s="45" t="n"/>
      <c r="P17" s="45" t="n"/>
      <c r="Q17" s="45" t="n"/>
      <c r="R17" s="45" t="n"/>
      <c r="S17" s="46">
        <f>IFERROR(R17/Q17,"")</f>
        <v/>
      </c>
      <c r="T17" s="45" t="n"/>
      <c r="U17" s="45" t="n"/>
      <c r="V17" s="45" t="n"/>
      <c r="W17" s="45" t="n"/>
      <c r="X17" s="45" t="n"/>
      <c r="Y17" s="46">
        <f>IFERROR(X17/W17,"")</f>
        <v/>
      </c>
      <c r="Z17" s="47" t="n"/>
      <c r="AA17" s="47" t="n"/>
      <c r="AB17" s="48">
        <f>IFERROR(AA17-Z17,"")</f>
        <v/>
      </c>
      <c r="AC17" s="44" t="n"/>
      <c r="AD17" s="44" t="n"/>
      <c r="AE17" s="44" t="n"/>
    </row>
    <row r="18" ht="15" customHeight="1" s="26">
      <c r="A18" s="43" t="n">
        <v>15</v>
      </c>
      <c r="B18" s="44" t="n"/>
      <c r="C18" s="44" t="n"/>
      <c r="D18" s="44" t="n"/>
      <c r="E18" s="44" t="n"/>
      <c r="F18" s="44" t="n"/>
      <c r="G18" s="45" t="n"/>
      <c r="H18" s="45" t="n"/>
      <c r="I18" s="46">
        <f>IFERROR(H18/G18,"")</f>
        <v/>
      </c>
      <c r="J18" s="45" t="n"/>
      <c r="K18" s="45" t="n"/>
      <c r="L18" s="45" t="n"/>
      <c r="M18" s="45" t="n"/>
      <c r="N18" s="45" t="n"/>
      <c r="O18" s="45" t="n"/>
      <c r="P18" s="45" t="n"/>
      <c r="Q18" s="45" t="n"/>
      <c r="R18" s="45" t="n"/>
      <c r="S18" s="46">
        <f>IFERROR(R18/Q18,"")</f>
        <v/>
      </c>
      <c r="T18" s="45" t="n"/>
      <c r="U18" s="45" t="n"/>
      <c r="V18" s="45" t="n"/>
      <c r="W18" s="45" t="n"/>
      <c r="X18" s="45" t="n"/>
      <c r="Y18" s="46">
        <f>IFERROR(X18/W18,"")</f>
        <v/>
      </c>
      <c r="Z18" s="47" t="n"/>
      <c r="AA18" s="47" t="n"/>
      <c r="AB18" s="48">
        <f>IFERROR(AA18-Z18,"")</f>
        <v/>
      </c>
      <c r="AC18" s="44" t="n"/>
      <c r="AD18" s="44" t="n"/>
      <c r="AE18" s="44" t="n"/>
    </row>
    <row r="19" ht="15" customHeight="1" s="26">
      <c r="A19" s="43" t="n">
        <v>16</v>
      </c>
      <c r="B19" s="44" t="n"/>
      <c r="C19" s="44" t="n"/>
      <c r="D19" s="44" t="n"/>
      <c r="E19" s="44" t="n"/>
      <c r="F19" s="44" t="n"/>
      <c r="G19" s="45" t="n"/>
      <c r="H19" s="45" t="n"/>
      <c r="I19" s="46">
        <f>IFERROR(H19/G19,"")</f>
        <v/>
      </c>
      <c r="J19" s="45" t="n"/>
      <c r="K19" s="45" t="n"/>
      <c r="L19" s="45" t="n"/>
      <c r="M19" s="45" t="n"/>
      <c r="N19" s="45" t="n"/>
      <c r="O19" s="45" t="n"/>
      <c r="P19" s="45" t="n"/>
      <c r="Q19" s="45" t="n"/>
      <c r="R19" s="45" t="n"/>
      <c r="S19" s="46">
        <f>IFERROR(R19/Q19,"")</f>
        <v/>
      </c>
      <c r="T19" s="45" t="n"/>
      <c r="U19" s="45" t="n"/>
      <c r="V19" s="45" t="n"/>
      <c r="W19" s="45" t="n"/>
      <c r="X19" s="45" t="n"/>
      <c r="Y19" s="46">
        <f>IFERROR(X19/W19,"")</f>
        <v/>
      </c>
      <c r="Z19" s="47" t="n"/>
      <c r="AA19" s="47" t="n"/>
      <c r="AB19" s="48">
        <f>IFERROR(AA19-Z19,"")</f>
        <v/>
      </c>
      <c r="AC19" s="44" t="n"/>
      <c r="AD19" s="44" t="n"/>
      <c r="AE19" s="44" t="n"/>
    </row>
    <row r="20" ht="15" customHeight="1" s="26">
      <c r="A20" s="43" t="n">
        <v>17</v>
      </c>
      <c r="B20" s="44" t="n"/>
      <c r="C20" s="44" t="n"/>
      <c r="D20" s="44" t="n"/>
      <c r="E20" s="44" t="n"/>
      <c r="F20" s="44" t="n"/>
      <c r="G20" s="45" t="n"/>
      <c r="H20" s="45" t="n"/>
      <c r="I20" s="46">
        <f>IFERROR(H20/G20,"")</f>
        <v/>
      </c>
      <c r="J20" s="45" t="n"/>
      <c r="K20" s="45" t="n"/>
      <c r="L20" s="45" t="n"/>
      <c r="M20" s="45" t="n"/>
      <c r="N20" s="45" t="n"/>
      <c r="O20" s="45" t="n"/>
      <c r="P20" s="45" t="n"/>
      <c r="Q20" s="45" t="n"/>
      <c r="R20" s="45" t="n"/>
      <c r="S20" s="46">
        <f>IFERROR(R20/Q20,"")</f>
        <v/>
      </c>
      <c r="T20" s="45" t="n"/>
      <c r="U20" s="45" t="n"/>
      <c r="V20" s="45" t="n"/>
      <c r="W20" s="45" t="n"/>
      <c r="X20" s="45" t="n"/>
      <c r="Y20" s="46">
        <f>IFERROR(X20/W20,"")</f>
        <v/>
      </c>
      <c r="Z20" s="47" t="n"/>
      <c r="AA20" s="47" t="n"/>
      <c r="AB20" s="48">
        <f>IFERROR(AA20-Z20,"")</f>
        <v/>
      </c>
      <c r="AC20" s="44" t="n"/>
      <c r="AD20" s="44" t="n"/>
      <c r="AE20" s="44" t="n"/>
    </row>
    <row r="21" ht="15" customHeight="1" s="26">
      <c r="A21" s="43" t="n">
        <v>18</v>
      </c>
      <c r="B21" s="44" t="n"/>
      <c r="C21" s="44" t="n"/>
      <c r="D21" s="44" t="n"/>
      <c r="E21" s="44" t="n"/>
      <c r="F21" s="44" t="n"/>
      <c r="G21" s="45" t="n"/>
      <c r="H21" s="45" t="n"/>
      <c r="I21" s="46">
        <f>IFERROR(H21/G21,"")</f>
        <v/>
      </c>
      <c r="J21" s="45" t="n"/>
      <c r="K21" s="45" t="n"/>
      <c r="L21" s="45" t="n"/>
      <c r="M21" s="45" t="n"/>
      <c r="N21" s="45" t="n"/>
      <c r="O21" s="45" t="n"/>
      <c r="P21" s="45" t="n"/>
      <c r="Q21" s="45" t="n"/>
      <c r="R21" s="45" t="n"/>
      <c r="S21" s="46">
        <f>IFERROR(R21/Q21,"")</f>
        <v/>
      </c>
      <c r="T21" s="45" t="n"/>
      <c r="U21" s="45" t="n"/>
      <c r="V21" s="45" t="n"/>
      <c r="W21" s="45" t="n"/>
      <c r="X21" s="45" t="n"/>
      <c r="Y21" s="46">
        <f>IFERROR(X21/W21,"")</f>
        <v/>
      </c>
      <c r="Z21" s="47" t="n"/>
      <c r="AA21" s="47" t="n"/>
      <c r="AB21" s="48">
        <f>IFERROR(AA21-Z21,"")</f>
        <v/>
      </c>
      <c r="AC21" s="44" t="n"/>
      <c r="AD21" s="44" t="n"/>
      <c r="AE21" s="44" t="n"/>
    </row>
    <row r="22" ht="15" customHeight="1" s="26">
      <c r="A22" s="43" t="n">
        <v>19</v>
      </c>
      <c r="B22" s="44" t="n"/>
      <c r="C22" s="44" t="n"/>
      <c r="D22" s="44" t="n"/>
      <c r="E22" s="44" t="n"/>
      <c r="F22" s="44" t="n"/>
      <c r="G22" s="45" t="n"/>
      <c r="H22" s="45" t="n"/>
      <c r="I22" s="46">
        <f>IFERROR(H22/G22,"")</f>
        <v/>
      </c>
      <c r="J22" s="45" t="n"/>
      <c r="K22" s="45" t="n"/>
      <c r="L22" s="45" t="n"/>
      <c r="M22" s="45" t="n"/>
      <c r="N22" s="45" t="n"/>
      <c r="O22" s="45" t="n"/>
      <c r="P22" s="45" t="n"/>
      <c r="Q22" s="45" t="n"/>
      <c r="R22" s="45" t="n"/>
      <c r="S22" s="46">
        <f>IFERROR(R22/Q22,"")</f>
        <v/>
      </c>
      <c r="T22" s="45" t="n"/>
      <c r="U22" s="45" t="n"/>
      <c r="V22" s="45" t="n"/>
      <c r="W22" s="45" t="n"/>
      <c r="X22" s="45" t="n"/>
      <c r="Y22" s="46">
        <f>IFERROR(X22/W22,"")</f>
        <v/>
      </c>
      <c r="Z22" s="47" t="n"/>
      <c r="AA22" s="47" t="n"/>
      <c r="AB22" s="48">
        <f>IFERROR(AA22-Z22,"")</f>
        <v/>
      </c>
      <c r="AC22" s="44" t="n"/>
      <c r="AD22" s="44" t="n"/>
      <c r="AE22" s="44" t="n"/>
    </row>
    <row r="23" ht="15" customHeight="1" s="26">
      <c r="A23" s="43" t="n">
        <v>20</v>
      </c>
      <c r="B23" s="44" t="n"/>
      <c r="C23" s="44" t="n"/>
      <c r="D23" s="44" t="n"/>
      <c r="E23" s="44" t="n"/>
      <c r="F23" s="44" t="n"/>
      <c r="G23" s="45" t="n"/>
      <c r="H23" s="45" t="n"/>
      <c r="I23" s="46">
        <f>IFERROR(H23/G23,"")</f>
        <v/>
      </c>
      <c r="J23" s="45" t="n"/>
      <c r="K23" s="45" t="n"/>
      <c r="L23" s="45" t="n"/>
      <c r="M23" s="45" t="n"/>
      <c r="N23" s="45" t="n"/>
      <c r="O23" s="45" t="n"/>
      <c r="P23" s="45" t="n"/>
      <c r="Q23" s="45" t="n"/>
      <c r="R23" s="45" t="n"/>
      <c r="S23" s="46">
        <f>IFERROR(R23/Q23,"")</f>
        <v/>
      </c>
      <c r="T23" s="45" t="n"/>
      <c r="U23" s="45" t="n"/>
      <c r="V23" s="45" t="n"/>
      <c r="W23" s="45" t="n"/>
      <c r="X23" s="45" t="n"/>
      <c r="Y23" s="46">
        <f>IFERROR(X23/W23,"")</f>
        <v/>
      </c>
      <c r="Z23" s="47" t="n"/>
      <c r="AA23" s="47" t="n"/>
      <c r="AB23" s="48">
        <f>IFERROR(AA23-Z23,"")</f>
        <v/>
      </c>
      <c r="AC23" s="44" t="n"/>
      <c r="AD23" s="44" t="n"/>
      <c r="AE23" s="44" t="n"/>
    </row>
    <row r="24" ht="15" customHeight="1" s="26">
      <c r="A24" s="43" t="n">
        <v>21</v>
      </c>
      <c r="B24" s="44" t="n"/>
      <c r="C24" s="44" t="n"/>
      <c r="D24" s="44" t="n"/>
      <c r="E24" s="44" t="n"/>
      <c r="F24" s="44" t="n"/>
      <c r="G24" s="45" t="n"/>
      <c r="H24" s="45" t="n"/>
      <c r="I24" s="46">
        <f>IFERROR(H24/G24,"")</f>
        <v/>
      </c>
      <c r="J24" s="45" t="n"/>
      <c r="K24" s="45" t="n"/>
      <c r="L24" s="45" t="n"/>
      <c r="M24" s="45" t="n"/>
      <c r="N24" s="45" t="n"/>
      <c r="O24" s="45" t="n"/>
      <c r="P24" s="45" t="n"/>
      <c r="Q24" s="45" t="n"/>
      <c r="R24" s="45" t="n"/>
      <c r="S24" s="46">
        <f>IFERROR(R24/Q24,"")</f>
        <v/>
      </c>
      <c r="T24" s="45" t="n"/>
      <c r="U24" s="45" t="n"/>
      <c r="V24" s="45" t="n"/>
      <c r="W24" s="45" t="n"/>
      <c r="X24" s="45" t="n"/>
      <c r="Y24" s="46">
        <f>IFERROR(X24/W24,"")</f>
        <v/>
      </c>
      <c r="Z24" s="47" t="n"/>
      <c r="AA24" s="47" t="n"/>
      <c r="AB24" s="48">
        <f>IFERROR(AA24-Z24,"")</f>
        <v/>
      </c>
      <c r="AC24" s="44" t="n"/>
      <c r="AD24" s="44" t="n"/>
      <c r="AE24" s="44" t="n"/>
    </row>
    <row r="25" ht="15" customHeight="1" s="26">
      <c r="A25" s="43" t="n">
        <v>22</v>
      </c>
      <c r="B25" s="44" t="n"/>
      <c r="C25" s="44" t="n"/>
      <c r="D25" s="44" t="n"/>
      <c r="E25" s="44" t="n"/>
      <c r="F25" s="44" t="n"/>
      <c r="G25" s="45" t="n"/>
      <c r="H25" s="45" t="n"/>
      <c r="I25" s="46">
        <f>IFERROR(H25/G25,"")</f>
        <v/>
      </c>
      <c r="J25" s="45" t="n"/>
      <c r="K25" s="45" t="n"/>
      <c r="L25" s="45" t="n"/>
      <c r="M25" s="45" t="n"/>
      <c r="N25" s="45" t="n"/>
      <c r="O25" s="45" t="n"/>
      <c r="P25" s="45" t="n"/>
      <c r="Q25" s="45" t="n"/>
      <c r="R25" s="45" t="n"/>
      <c r="S25" s="46">
        <f>IFERROR(R25/Q25,"")</f>
        <v/>
      </c>
      <c r="T25" s="45" t="n"/>
      <c r="U25" s="45" t="n"/>
      <c r="V25" s="45" t="n"/>
      <c r="W25" s="45" t="n"/>
      <c r="X25" s="45" t="n"/>
      <c r="Y25" s="46">
        <f>IFERROR(X25/W25,"")</f>
        <v/>
      </c>
      <c r="Z25" s="47" t="n"/>
      <c r="AA25" s="47" t="n"/>
      <c r="AB25" s="48">
        <f>IFERROR(AA25-Z25,"")</f>
        <v/>
      </c>
      <c r="AC25" s="44" t="n"/>
      <c r="AD25" s="44" t="n"/>
      <c r="AE25" s="44" t="n"/>
    </row>
    <row r="26" ht="15" customHeight="1" s="26">
      <c r="A26" s="43" t="n">
        <v>23</v>
      </c>
      <c r="B26" s="44" t="n"/>
      <c r="C26" s="44" t="n"/>
      <c r="D26" s="44" t="n"/>
      <c r="E26" s="44" t="n"/>
      <c r="F26" s="44" t="n"/>
      <c r="G26" s="45" t="n"/>
      <c r="H26" s="45" t="n"/>
      <c r="I26" s="46">
        <f>IFERROR(H26/G26,"")</f>
        <v/>
      </c>
      <c r="J26" s="45" t="n"/>
      <c r="K26" s="45" t="n"/>
      <c r="L26" s="45" t="n"/>
      <c r="M26" s="45" t="n"/>
      <c r="N26" s="45" t="n"/>
      <c r="O26" s="45" t="n"/>
      <c r="P26" s="45" t="n"/>
      <c r="Q26" s="45" t="n"/>
      <c r="R26" s="45" t="n"/>
      <c r="S26" s="46">
        <f>IFERROR(R26/Q26,"")</f>
        <v/>
      </c>
      <c r="T26" s="45" t="n"/>
      <c r="U26" s="45" t="n"/>
      <c r="V26" s="45" t="n"/>
      <c r="W26" s="45" t="n"/>
      <c r="X26" s="45" t="n"/>
      <c r="Y26" s="46">
        <f>IFERROR(X26/W26,"")</f>
        <v/>
      </c>
      <c r="Z26" s="47" t="n"/>
      <c r="AA26" s="47" t="n"/>
      <c r="AB26" s="48">
        <f>IFERROR(AA26-Z26,"")</f>
        <v/>
      </c>
      <c r="AC26" s="44" t="n"/>
      <c r="AD26" s="44" t="n"/>
      <c r="AE26" s="44" t="n"/>
    </row>
    <row r="27" ht="15" customHeight="1" s="26">
      <c r="A27" s="43" t="n">
        <v>24</v>
      </c>
      <c r="B27" s="44" t="n"/>
      <c r="C27" s="44" t="n"/>
      <c r="D27" s="44" t="n"/>
      <c r="E27" s="44" t="n"/>
      <c r="F27" s="44" t="n"/>
      <c r="G27" s="45" t="n"/>
      <c r="H27" s="45" t="n"/>
      <c r="I27" s="46">
        <f>IFERROR(H27/G27,"")</f>
        <v/>
      </c>
      <c r="J27" s="45" t="n"/>
      <c r="K27" s="45" t="n"/>
      <c r="L27" s="45" t="n"/>
      <c r="M27" s="45" t="n"/>
      <c r="N27" s="45" t="n"/>
      <c r="O27" s="45" t="n"/>
      <c r="P27" s="45" t="n"/>
      <c r="Q27" s="45" t="n"/>
      <c r="R27" s="45" t="n"/>
      <c r="S27" s="46">
        <f>IFERROR(R27/Q27,"")</f>
        <v/>
      </c>
      <c r="T27" s="45" t="n"/>
      <c r="U27" s="45" t="n"/>
      <c r="V27" s="45" t="n"/>
      <c r="W27" s="45" t="n"/>
      <c r="X27" s="45" t="n"/>
      <c r="Y27" s="46">
        <f>IFERROR(X27/W27,"")</f>
        <v/>
      </c>
      <c r="Z27" s="47" t="n"/>
      <c r="AA27" s="47" t="n"/>
      <c r="AB27" s="48">
        <f>IFERROR(AA27-Z27,"")</f>
        <v/>
      </c>
      <c r="AC27" s="44" t="n"/>
      <c r="AD27" s="44" t="n"/>
      <c r="AE27" s="44" t="n"/>
    </row>
    <row r="28" ht="15" customHeight="1" s="26">
      <c r="A28" s="43" t="n">
        <v>25</v>
      </c>
      <c r="B28" s="44" t="n"/>
      <c r="C28" s="44" t="n"/>
      <c r="D28" s="44" t="n"/>
      <c r="E28" s="44" t="n"/>
      <c r="F28" s="44" t="n"/>
      <c r="G28" s="45" t="n"/>
      <c r="H28" s="45" t="n"/>
      <c r="I28" s="46">
        <f>IFERROR(H28/G28,"")</f>
        <v/>
      </c>
      <c r="J28" s="45" t="n"/>
      <c r="K28" s="45" t="n"/>
      <c r="L28" s="45" t="n"/>
      <c r="M28" s="45" t="n"/>
      <c r="N28" s="45" t="n"/>
      <c r="O28" s="45" t="n"/>
      <c r="P28" s="45" t="n"/>
      <c r="Q28" s="45" t="n"/>
      <c r="R28" s="45" t="n"/>
      <c r="S28" s="46">
        <f>IFERROR(R28/Q28,"")</f>
        <v/>
      </c>
      <c r="T28" s="45" t="n"/>
      <c r="U28" s="45" t="n"/>
      <c r="V28" s="45" t="n"/>
      <c r="W28" s="45" t="n"/>
      <c r="X28" s="45" t="n"/>
      <c r="Y28" s="46">
        <f>IFERROR(X28/W28,"")</f>
        <v/>
      </c>
      <c r="Z28" s="47" t="n"/>
      <c r="AA28" s="47" t="n"/>
      <c r="AB28" s="48">
        <f>IFERROR(AA28-Z28,"")</f>
        <v/>
      </c>
      <c r="AC28" s="44" t="n"/>
      <c r="AD28" s="44" t="n"/>
      <c r="AE28" s="44" t="n"/>
    </row>
    <row r="29" ht="15" customHeight="1" s="26">
      <c r="A29" s="43" t="n">
        <v>26</v>
      </c>
      <c r="B29" s="44" t="n"/>
      <c r="C29" s="44" t="n"/>
      <c r="D29" s="44" t="n"/>
      <c r="E29" s="44" t="n"/>
      <c r="F29" s="44" t="n"/>
      <c r="G29" s="45" t="n"/>
      <c r="H29" s="45" t="n"/>
      <c r="I29" s="46">
        <f>IFERROR(H29/G29,"")</f>
        <v/>
      </c>
      <c r="J29" s="45" t="n"/>
      <c r="K29" s="45" t="n"/>
      <c r="L29" s="45" t="n"/>
      <c r="M29" s="45" t="n"/>
      <c r="N29" s="45" t="n"/>
      <c r="O29" s="45" t="n"/>
      <c r="P29" s="45" t="n"/>
      <c r="Q29" s="45" t="n"/>
      <c r="R29" s="45" t="n"/>
      <c r="S29" s="46">
        <f>IFERROR(R29/Q29,"")</f>
        <v/>
      </c>
      <c r="T29" s="45" t="n"/>
      <c r="U29" s="45" t="n"/>
      <c r="V29" s="45" t="n"/>
      <c r="W29" s="45" t="n"/>
      <c r="X29" s="45" t="n"/>
      <c r="Y29" s="46">
        <f>IFERROR(X29/W29,"")</f>
        <v/>
      </c>
      <c r="Z29" s="47" t="n"/>
      <c r="AA29" s="47" t="n"/>
      <c r="AB29" s="48">
        <f>IFERROR(AA29-Z29,"")</f>
        <v/>
      </c>
      <c r="AC29" s="44" t="n"/>
      <c r="AD29" s="44" t="n"/>
      <c r="AE29" s="44" t="n"/>
    </row>
    <row r="30" ht="15" customHeight="1" s="26">
      <c r="A30" s="43" t="n">
        <v>27</v>
      </c>
      <c r="B30" s="44" t="n"/>
      <c r="C30" s="44" t="n"/>
      <c r="D30" s="44" t="n"/>
      <c r="E30" s="44" t="n"/>
      <c r="F30" s="44" t="n"/>
      <c r="G30" s="45" t="n"/>
      <c r="H30" s="45" t="n"/>
      <c r="I30" s="46">
        <f>IFERROR(H30/G30,"")</f>
        <v/>
      </c>
      <c r="J30" s="45" t="n"/>
      <c r="K30" s="45" t="n"/>
      <c r="L30" s="45" t="n"/>
      <c r="M30" s="45" t="n"/>
      <c r="N30" s="45" t="n"/>
      <c r="O30" s="45" t="n"/>
      <c r="P30" s="45" t="n"/>
      <c r="Q30" s="45" t="n"/>
      <c r="R30" s="45" t="n"/>
      <c r="S30" s="46">
        <f>IFERROR(R30/Q30,"")</f>
        <v/>
      </c>
      <c r="T30" s="45" t="n"/>
      <c r="U30" s="45" t="n"/>
      <c r="V30" s="45" t="n"/>
      <c r="W30" s="45" t="n"/>
      <c r="X30" s="45" t="n"/>
      <c r="Y30" s="46">
        <f>IFERROR(X30/W30,"")</f>
        <v/>
      </c>
      <c r="Z30" s="47" t="n"/>
      <c r="AA30" s="47" t="n"/>
      <c r="AB30" s="48">
        <f>IFERROR(AA30-Z30,"")</f>
        <v/>
      </c>
      <c r="AC30" s="44" t="n"/>
      <c r="AD30" s="44" t="n"/>
      <c r="AE30" s="44" t="n"/>
    </row>
    <row r="31" ht="15" customHeight="1" s="26">
      <c r="A31" s="43" t="n">
        <v>28</v>
      </c>
      <c r="B31" s="44" t="n"/>
      <c r="C31" s="44" t="n"/>
      <c r="D31" s="44" t="n"/>
      <c r="E31" s="44" t="n"/>
      <c r="F31" s="44" t="n"/>
      <c r="G31" s="45" t="n"/>
      <c r="H31" s="45" t="n"/>
      <c r="I31" s="46">
        <f>IFERROR(H31/G31,"")</f>
        <v/>
      </c>
      <c r="J31" s="45" t="n"/>
      <c r="K31" s="45" t="n"/>
      <c r="L31" s="45" t="n"/>
      <c r="M31" s="45" t="n"/>
      <c r="N31" s="45" t="n"/>
      <c r="O31" s="45" t="n"/>
      <c r="P31" s="45" t="n"/>
      <c r="Q31" s="45" t="n"/>
      <c r="R31" s="45" t="n"/>
      <c r="S31" s="46">
        <f>IFERROR(R31/Q31,"")</f>
        <v/>
      </c>
      <c r="T31" s="45" t="n"/>
      <c r="U31" s="45" t="n"/>
      <c r="V31" s="45" t="n"/>
      <c r="W31" s="45" t="n"/>
      <c r="X31" s="45" t="n"/>
      <c r="Y31" s="46">
        <f>IFERROR(X31/W31,"")</f>
        <v/>
      </c>
      <c r="Z31" s="47" t="n"/>
      <c r="AA31" s="47" t="n"/>
      <c r="AB31" s="48">
        <f>IFERROR(AA31-Z31,"")</f>
        <v/>
      </c>
      <c r="AC31" s="44" t="n"/>
      <c r="AD31" s="44" t="n"/>
      <c r="AE31" s="44" t="n"/>
    </row>
    <row r="32" ht="15" customHeight="1" s="26">
      <c r="A32" s="43" t="n">
        <v>29</v>
      </c>
      <c r="B32" s="44" t="n"/>
      <c r="C32" s="44" t="n"/>
      <c r="D32" s="44" t="n"/>
      <c r="E32" s="44" t="n"/>
      <c r="F32" s="44" t="n"/>
      <c r="G32" s="45" t="n"/>
      <c r="H32" s="45" t="n"/>
      <c r="I32" s="46">
        <f>IFERROR(H32/G32,"")</f>
        <v/>
      </c>
      <c r="J32" s="45" t="n"/>
      <c r="K32" s="45" t="n"/>
      <c r="L32" s="45" t="n"/>
      <c r="M32" s="45" t="n"/>
      <c r="N32" s="45" t="n"/>
      <c r="O32" s="45" t="n"/>
      <c r="P32" s="45" t="n"/>
      <c r="Q32" s="45" t="n"/>
      <c r="R32" s="45" t="n"/>
      <c r="S32" s="46">
        <f>IFERROR(R32/Q32,"")</f>
        <v/>
      </c>
      <c r="T32" s="45" t="n"/>
      <c r="U32" s="45" t="n"/>
      <c r="V32" s="45" t="n"/>
      <c r="W32" s="45" t="n"/>
      <c r="X32" s="45" t="n"/>
      <c r="Y32" s="46">
        <f>IFERROR(X32/W32,"")</f>
        <v/>
      </c>
      <c r="Z32" s="47" t="n"/>
      <c r="AA32" s="47" t="n"/>
      <c r="AB32" s="48">
        <f>IFERROR(AA32-Z32,"")</f>
        <v/>
      </c>
      <c r="AC32" s="44" t="n"/>
      <c r="AD32" s="44" t="n"/>
      <c r="AE32" s="44" t="n"/>
    </row>
    <row r="33" ht="15" customHeight="1" s="26">
      <c r="A33" s="43" t="n">
        <v>30</v>
      </c>
      <c r="B33" s="44" t="n"/>
      <c r="C33" s="44" t="n"/>
      <c r="D33" s="44" t="n"/>
      <c r="E33" s="44" t="n"/>
      <c r="F33" s="44" t="n"/>
      <c r="G33" s="45" t="n"/>
      <c r="H33" s="45" t="n"/>
      <c r="I33" s="46">
        <f>IFERROR(H33/G33,"")</f>
        <v/>
      </c>
      <c r="J33" s="45" t="n"/>
      <c r="K33" s="45" t="n"/>
      <c r="L33" s="45" t="n"/>
      <c r="M33" s="45" t="n"/>
      <c r="N33" s="45" t="n"/>
      <c r="O33" s="45" t="n"/>
      <c r="P33" s="45" t="n"/>
      <c r="Q33" s="45" t="n"/>
      <c r="R33" s="45" t="n"/>
      <c r="S33" s="46">
        <f>IFERROR(R33/Q33,"")</f>
        <v/>
      </c>
      <c r="T33" s="45" t="n"/>
      <c r="U33" s="45" t="n"/>
      <c r="V33" s="45" t="n"/>
      <c r="W33" s="45" t="n"/>
      <c r="X33" s="45" t="n"/>
      <c r="Y33" s="46">
        <f>IFERROR(X33/W33,"")</f>
        <v/>
      </c>
      <c r="Z33" s="47" t="n"/>
      <c r="AA33" s="47" t="n"/>
      <c r="AB33" s="48">
        <f>IFERROR(AA33-Z33,"")</f>
        <v/>
      </c>
      <c r="AC33" s="44" t="n"/>
      <c r="AD33" s="44" t="n"/>
      <c r="AE33" s="44" t="n"/>
    </row>
    <row r="34" ht="15" customHeight="1" s="26">
      <c r="A34" s="43" t="n">
        <v>31</v>
      </c>
      <c r="B34" s="44" t="n"/>
      <c r="C34" s="44" t="n"/>
      <c r="D34" s="44" t="n"/>
      <c r="E34" s="44" t="n"/>
      <c r="F34" s="44" t="n"/>
      <c r="G34" s="45" t="n"/>
      <c r="H34" s="45" t="n"/>
      <c r="I34" s="46">
        <f>IFERROR(H34/G34,"")</f>
        <v/>
      </c>
      <c r="J34" s="45" t="n"/>
      <c r="K34" s="45" t="n"/>
      <c r="L34" s="45" t="n"/>
      <c r="M34" s="45" t="n"/>
      <c r="N34" s="45" t="n"/>
      <c r="O34" s="45" t="n"/>
      <c r="P34" s="45" t="n"/>
      <c r="Q34" s="45" t="n"/>
      <c r="R34" s="45" t="n"/>
      <c r="S34" s="46">
        <f>IFERROR(R34/Q34,"")</f>
        <v/>
      </c>
      <c r="T34" s="45" t="n"/>
      <c r="U34" s="45" t="n"/>
      <c r="V34" s="45" t="n"/>
      <c r="W34" s="45" t="n"/>
      <c r="X34" s="45" t="n"/>
      <c r="Y34" s="46">
        <f>IFERROR(X34/W34,"")</f>
        <v/>
      </c>
      <c r="Z34" s="47" t="n"/>
      <c r="AA34" s="47" t="n"/>
      <c r="AB34" s="48">
        <f>IFERROR(AA34-Z34,"")</f>
        <v/>
      </c>
      <c r="AC34" s="44" t="n"/>
      <c r="AD34" s="44" t="n"/>
      <c r="AE34" s="44" t="n"/>
    </row>
    <row r="35" ht="15" customHeight="1" s="26">
      <c r="A35" s="43" t="n">
        <v>32</v>
      </c>
      <c r="B35" s="44" t="n"/>
      <c r="C35" s="44" t="n"/>
      <c r="D35" s="44" t="n"/>
      <c r="E35" s="44" t="n"/>
      <c r="F35" s="44" t="n"/>
      <c r="G35" s="45" t="n"/>
      <c r="H35" s="45" t="n"/>
      <c r="I35" s="46">
        <f>IFERROR(H35/G35,"")</f>
        <v/>
      </c>
      <c r="J35" s="45" t="n"/>
      <c r="K35" s="45" t="n"/>
      <c r="L35" s="45" t="n"/>
      <c r="M35" s="45" t="n"/>
      <c r="N35" s="45" t="n"/>
      <c r="O35" s="45" t="n"/>
      <c r="P35" s="45" t="n"/>
      <c r="Q35" s="45" t="n"/>
      <c r="R35" s="45" t="n"/>
      <c r="S35" s="46">
        <f>IFERROR(R35/Q35,"")</f>
        <v/>
      </c>
      <c r="T35" s="45" t="n"/>
      <c r="U35" s="45" t="n"/>
      <c r="V35" s="45" t="n"/>
      <c r="W35" s="45" t="n"/>
      <c r="X35" s="45" t="n"/>
      <c r="Y35" s="46">
        <f>IFERROR(X35/W35,"")</f>
        <v/>
      </c>
      <c r="Z35" s="47" t="n"/>
      <c r="AA35" s="47" t="n"/>
      <c r="AB35" s="48">
        <f>IFERROR(AA35-Z35,"")</f>
        <v/>
      </c>
      <c r="AC35" s="44" t="n"/>
      <c r="AD35" s="44" t="n"/>
      <c r="AE35" s="44" t="n"/>
    </row>
    <row r="36" ht="15" customHeight="1" s="26">
      <c r="A36" s="43" t="n">
        <v>33</v>
      </c>
      <c r="B36" s="44" t="n"/>
      <c r="C36" s="44" t="n"/>
      <c r="D36" s="44" t="n"/>
      <c r="E36" s="44" t="n"/>
      <c r="F36" s="44" t="n"/>
      <c r="G36" s="45" t="n"/>
      <c r="H36" s="45" t="n"/>
      <c r="I36" s="46">
        <f>IFERROR(H36/G36,"")</f>
        <v/>
      </c>
      <c r="J36" s="45" t="n"/>
      <c r="K36" s="45" t="n"/>
      <c r="L36" s="45" t="n"/>
      <c r="M36" s="45" t="n"/>
      <c r="N36" s="45" t="n"/>
      <c r="O36" s="45" t="n"/>
      <c r="P36" s="45" t="n"/>
      <c r="Q36" s="45" t="n"/>
      <c r="R36" s="45" t="n"/>
      <c r="S36" s="46">
        <f>IFERROR(R36/Q36,"")</f>
        <v/>
      </c>
      <c r="T36" s="45" t="n"/>
      <c r="U36" s="45" t="n"/>
      <c r="V36" s="45" t="n"/>
      <c r="W36" s="45" t="n"/>
      <c r="X36" s="45" t="n"/>
      <c r="Y36" s="46">
        <f>IFERROR(X36/W36,"")</f>
        <v/>
      </c>
      <c r="Z36" s="47" t="n"/>
      <c r="AA36" s="47" t="n"/>
      <c r="AB36" s="48">
        <f>IFERROR(AA36-Z36,"")</f>
        <v/>
      </c>
      <c r="AC36" s="44" t="n"/>
      <c r="AD36" s="44" t="n"/>
      <c r="AE36" s="44" t="n"/>
    </row>
    <row r="37" ht="15" customHeight="1" s="26">
      <c r="A37" s="43" t="n">
        <v>34</v>
      </c>
      <c r="B37" s="44" t="n"/>
      <c r="C37" s="44" t="n"/>
      <c r="D37" s="44" t="n"/>
      <c r="E37" s="44" t="n"/>
      <c r="F37" s="44" t="n"/>
      <c r="G37" s="45" t="n"/>
      <c r="H37" s="45" t="n"/>
      <c r="I37" s="46">
        <f>IFERROR(H37/G37,"")</f>
        <v/>
      </c>
      <c r="J37" s="45" t="n"/>
      <c r="K37" s="45" t="n"/>
      <c r="L37" s="45" t="n"/>
      <c r="M37" s="45" t="n"/>
      <c r="N37" s="45" t="n"/>
      <c r="O37" s="45" t="n"/>
      <c r="P37" s="45" t="n"/>
      <c r="Q37" s="45" t="n"/>
      <c r="R37" s="45" t="n"/>
      <c r="S37" s="46">
        <f>IFERROR(R37/Q37,"")</f>
        <v/>
      </c>
      <c r="T37" s="45" t="n"/>
      <c r="U37" s="45" t="n"/>
      <c r="V37" s="45" t="n"/>
      <c r="W37" s="45" t="n"/>
      <c r="X37" s="45" t="n"/>
      <c r="Y37" s="46">
        <f>IFERROR(X37/W37,"")</f>
        <v/>
      </c>
      <c r="Z37" s="47" t="n"/>
      <c r="AA37" s="47" t="n"/>
      <c r="AB37" s="48">
        <f>IFERROR(AA37-Z37,"")</f>
        <v/>
      </c>
      <c r="AC37" s="44" t="n"/>
      <c r="AD37" s="44" t="n"/>
      <c r="AE37" s="44" t="n"/>
    </row>
    <row r="38" ht="15" customHeight="1" s="26">
      <c r="A38" s="43" t="n">
        <v>35</v>
      </c>
      <c r="B38" s="44" t="n"/>
      <c r="C38" s="44" t="n"/>
      <c r="D38" s="44" t="n"/>
      <c r="E38" s="44" t="n"/>
      <c r="F38" s="44" t="n"/>
      <c r="G38" s="45" t="n"/>
      <c r="H38" s="45" t="n"/>
      <c r="I38" s="46">
        <f>IFERROR(H38/G38,"")</f>
        <v/>
      </c>
      <c r="J38" s="45" t="n"/>
      <c r="K38" s="45" t="n"/>
      <c r="L38" s="45" t="n"/>
      <c r="M38" s="45" t="n"/>
      <c r="N38" s="45" t="n"/>
      <c r="O38" s="45" t="n"/>
      <c r="P38" s="45" t="n"/>
      <c r="Q38" s="45" t="n"/>
      <c r="R38" s="45" t="n"/>
      <c r="S38" s="46">
        <f>IFERROR(R38/Q38,"")</f>
        <v/>
      </c>
      <c r="T38" s="45" t="n"/>
      <c r="U38" s="45" t="n"/>
      <c r="V38" s="45" t="n"/>
      <c r="W38" s="45" t="n"/>
      <c r="X38" s="45" t="n"/>
      <c r="Y38" s="46">
        <f>IFERROR(X38/W38,"")</f>
        <v/>
      </c>
      <c r="Z38" s="47" t="n"/>
      <c r="AA38" s="47" t="n"/>
      <c r="AB38" s="48">
        <f>IFERROR(AA38-Z38,"")</f>
        <v/>
      </c>
      <c r="AC38" s="44" t="n"/>
      <c r="AD38" s="44" t="n"/>
      <c r="AE38" s="44" t="n"/>
    </row>
    <row r="39" ht="15" customHeight="1" s="26">
      <c r="A39" s="43" t="n">
        <v>36</v>
      </c>
      <c r="B39" s="44" t="n"/>
      <c r="C39" s="44" t="n"/>
      <c r="D39" s="44" t="n"/>
      <c r="E39" s="44" t="n"/>
      <c r="F39" s="44" t="n"/>
      <c r="G39" s="45" t="n"/>
      <c r="H39" s="45" t="n"/>
      <c r="I39" s="46">
        <f>IFERROR(H39/G39,"")</f>
        <v/>
      </c>
      <c r="J39" s="45" t="n"/>
      <c r="K39" s="45" t="n"/>
      <c r="L39" s="45" t="n"/>
      <c r="M39" s="45" t="n"/>
      <c r="N39" s="45" t="n"/>
      <c r="O39" s="45" t="n"/>
      <c r="P39" s="45" t="n"/>
      <c r="Q39" s="45" t="n"/>
      <c r="R39" s="45" t="n"/>
      <c r="S39" s="46">
        <f>IFERROR(R39/Q39,"")</f>
        <v/>
      </c>
      <c r="T39" s="45" t="n"/>
      <c r="U39" s="45" t="n"/>
      <c r="V39" s="45" t="n"/>
      <c r="W39" s="45" t="n"/>
      <c r="X39" s="45" t="n"/>
      <c r="Y39" s="46">
        <f>IFERROR(X39/W39,"")</f>
        <v/>
      </c>
      <c r="Z39" s="47" t="n"/>
      <c r="AA39" s="47" t="n"/>
      <c r="AB39" s="48">
        <f>IFERROR(AA39-Z39,"")</f>
        <v/>
      </c>
      <c r="AC39" s="44" t="n"/>
      <c r="AD39" s="44" t="n"/>
      <c r="AE39" s="44" t="n"/>
    </row>
    <row r="40" ht="15" customHeight="1" s="26">
      <c r="A40" s="43" t="n">
        <v>37</v>
      </c>
      <c r="B40" s="44" t="n"/>
      <c r="C40" s="44" t="n"/>
      <c r="D40" s="44" t="n"/>
      <c r="E40" s="44" t="n"/>
      <c r="F40" s="44" t="n"/>
      <c r="G40" s="45" t="n"/>
      <c r="H40" s="45" t="n"/>
      <c r="I40" s="46">
        <f>IFERROR(H40/G40,"")</f>
        <v/>
      </c>
      <c r="J40" s="45" t="n"/>
      <c r="K40" s="45" t="n"/>
      <c r="L40" s="45" t="n"/>
      <c r="M40" s="45" t="n"/>
      <c r="N40" s="45" t="n"/>
      <c r="O40" s="45" t="n"/>
      <c r="P40" s="45" t="n"/>
      <c r="Q40" s="45" t="n"/>
      <c r="R40" s="45" t="n"/>
      <c r="S40" s="46">
        <f>IFERROR(R40/Q40,"")</f>
        <v/>
      </c>
      <c r="T40" s="45" t="n"/>
      <c r="U40" s="45" t="n"/>
      <c r="V40" s="45" t="n"/>
      <c r="W40" s="45" t="n"/>
      <c r="X40" s="45" t="n"/>
      <c r="Y40" s="46">
        <f>IFERROR(X40/W40,"")</f>
        <v/>
      </c>
      <c r="Z40" s="47" t="n"/>
      <c r="AA40" s="47" t="n"/>
      <c r="AB40" s="48">
        <f>IFERROR(AA40-Z40,"")</f>
        <v/>
      </c>
      <c r="AC40" s="44" t="n"/>
      <c r="AD40" s="44" t="n"/>
      <c r="AE40" s="44" t="n"/>
    </row>
    <row r="41" ht="15" customHeight="1" s="26">
      <c r="A41" s="43" t="n">
        <v>38</v>
      </c>
      <c r="B41" s="44" t="n"/>
      <c r="C41" s="44" t="n"/>
      <c r="D41" s="44" t="n"/>
      <c r="E41" s="44" t="n"/>
      <c r="F41" s="44" t="n"/>
      <c r="G41" s="45" t="n"/>
      <c r="H41" s="45" t="n"/>
      <c r="I41" s="46">
        <f>IFERROR(H41/G41,"")</f>
        <v/>
      </c>
      <c r="J41" s="45" t="n"/>
      <c r="K41" s="45" t="n"/>
      <c r="L41" s="45" t="n"/>
      <c r="M41" s="45" t="n"/>
      <c r="N41" s="45" t="n"/>
      <c r="O41" s="45" t="n"/>
      <c r="P41" s="45" t="n"/>
      <c r="Q41" s="45" t="n"/>
      <c r="R41" s="45" t="n"/>
      <c r="S41" s="46">
        <f>IFERROR(R41/Q41,"")</f>
        <v/>
      </c>
      <c r="T41" s="45" t="n"/>
      <c r="U41" s="45" t="n"/>
      <c r="V41" s="45" t="n"/>
      <c r="W41" s="45" t="n"/>
      <c r="X41" s="45" t="n"/>
      <c r="Y41" s="46">
        <f>IFERROR(X41/W41,"")</f>
        <v/>
      </c>
      <c r="Z41" s="47" t="n"/>
      <c r="AA41" s="47" t="n"/>
      <c r="AB41" s="48">
        <f>IFERROR(AA41-Z41,"")</f>
        <v/>
      </c>
      <c r="AC41" s="44" t="n"/>
      <c r="AD41" s="44" t="n"/>
      <c r="AE41" s="44" t="n"/>
    </row>
    <row r="42" ht="15" customHeight="1" s="26">
      <c r="A42" s="43" t="n">
        <v>39</v>
      </c>
      <c r="B42" s="44" t="n"/>
      <c r="C42" s="44" t="n"/>
      <c r="D42" s="44" t="n"/>
      <c r="E42" s="44" t="n"/>
      <c r="F42" s="44" t="n"/>
      <c r="G42" s="45" t="n"/>
      <c r="H42" s="45" t="n"/>
      <c r="I42" s="46">
        <f>IFERROR(H42/G42,"")</f>
        <v/>
      </c>
      <c r="J42" s="45" t="n"/>
      <c r="K42" s="45" t="n"/>
      <c r="L42" s="45" t="n"/>
      <c r="M42" s="45" t="n"/>
      <c r="N42" s="45" t="n"/>
      <c r="O42" s="45" t="n"/>
      <c r="P42" s="45" t="n"/>
      <c r="Q42" s="45" t="n"/>
      <c r="R42" s="45" t="n"/>
      <c r="S42" s="46">
        <f>IFERROR(R42/Q42,"")</f>
        <v/>
      </c>
      <c r="T42" s="45" t="n"/>
      <c r="U42" s="45" t="n"/>
      <c r="V42" s="45" t="n"/>
      <c r="W42" s="45" t="n"/>
      <c r="X42" s="45" t="n"/>
      <c r="Y42" s="46">
        <f>IFERROR(X42/W42,"")</f>
        <v/>
      </c>
      <c r="Z42" s="47" t="n"/>
      <c r="AA42" s="47" t="n"/>
      <c r="AB42" s="48">
        <f>IFERROR(AA42-Z42,"")</f>
        <v/>
      </c>
      <c r="AC42" s="44" t="n"/>
      <c r="AD42" s="44" t="n"/>
      <c r="AE42" s="44" t="n"/>
    </row>
    <row r="43" ht="15" customHeight="1" s="26">
      <c r="A43" s="43" t="n">
        <v>40</v>
      </c>
      <c r="B43" s="44" t="n"/>
      <c r="C43" s="44" t="n"/>
      <c r="D43" s="44" t="n"/>
      <c r="E43" s="44" t="n"/>
      <c r="F43" s="44" t="n"/>
      <c r="G43" s="45" t="n"/>
      <c r="H43" s="45" t="n"/>
      <c r="I43" s="46">
        <f>IFERROR(H43/G43,"")</f>
        <v/>
      </c>
      <c r="J43" s="45" t="n"/>
      <c r="K43" s="45" t="n"/>
      <c r="L43" s="45" t="n"/>
      <c r="M43" s="45" t="n"/>
      <c r="N43" s="45" t="n"/>
      <c r="O43" s="45" t="n"/>
      <c r="P43" s="45" t="n"/>
      <c r="Q43" s="45" t="n"/>
      <c r="R43" s="45" t="n"/>
      <c r="S43" s="46">
        <f>IFERROR(R43/Q43,"")</f>
        <v/>
      </c>
      <c r="T43" s="45" t="n"/>
      <c r="U43" s="45" t="n"/>
      <c r="V43" s="45" t="n"/>
      <c r="W43" s="45" t="n"/>
      <c r="X43" s="45" t="n"/>
      <c r="Y43" s="46">
        <f>IFERROR(X43/W43,"")</f>
        <v/>
      </c>
      <c r="Z43" s="47" t="n"/>
      <c r="AA43" s="47" t="n"/>
      <c r="AB43" s="48">
        <f>IFERROR(AA43-Z43,"")</f>
        <v/>
      </c>
      <c r="AC43" s="44" t="n"/>
      <c r="AD43" s="44" t="n"/>
      <c r="AE43" s="44" t="n"/>
    </row>
    <row r="44" ht="15" customHeight="1" s="26">
      <c r="A44" s="43" t="n">
        <v>41</v>
      </c>
      <c r="B44" s="44" t="n"/>
      <c r="C44" s="44" t="n"/>
      <c r="D44" s="44" t="n"/>
      <c r="E44" s="44" t="n"/>
      <c r="F44" s="44" t="n"/>
      <c r="G44" s="45" t="n"/>
      <c r="H44" s="45" t="n"/>
      <c r="I44" s="46">
        <f>IFERROR(H44/G44,"")</f>
        <v/>
      </c>
      <c r="J44" s="45" t="n"/>
      <c r="K44" s="45" t="n"/>
      <c r="L44" s="45" t="n"/>
      <c r="M44" s="45" t="n"/>
      <c r="N44" s="45" t="n"/>
      <c r="O44" s="45" t="n"/>
      <c r="P44" s="45" t="n"/>
      <c r="Q44" s="45" t="n"/>
      <c r="R44" s="45" t="n"/>
      <c r="S44" s="46">
        <f>IFERROR(R44/Q44,"")</f>
        <v/>
      </c>
      <c r="T44" s="45" t="n"/>
      <c r="U44" s="45" t="n"/>
      <c r="V44" s="45" t="n"/>
      <c r="W44" s="45" t="n"/>
      <c r="X44" s="45" t="n"/>
      <c r="Y44" s="46">
        <f>IFERROR(X44/W44,"")</f>
        <v/>
      </c>
      <c r="Z44" s="47" t="n"/>
      <c r="AA44" s="47" t="n"/>
      <c r="AB44" s="48">
        <f>IFERROR(AA44-Z44,"")</f>
        <v/>
      </c>
      <c r="AC44" s="44" t="n"/>
      <c r="AD44" s="44" t="n"/>
      <c r="AE44" s="44" t="n"/>
    </row>
    <row r="45" ht="15" customHeight="1" s="26">
      <c r="A45" s="43" t="n">
        <v>42</v>
      </c>
      <c r="B45" s="44" t="n"/>
      <c r="C45" s="44" t="n"/>
      <c r="D45" s="44" t="n"/>
      <c r="E45" s="44" t="n"/>
      <c r="F45" s="44" t="n"/>
      <c r="G45" s="45" t="n"/>
      <c r="H45" s="45" t="n"/>
      <c r="I45" s="46">
        <f>IFERROR(H45/G45,"")</f>
        <v/>
      </c>
      <c r="J45" s="45" t="n"/>
      <c r="K45" s="45" t="n"/>
      <c r="L45" s="45" t="n"/>
      <c r="M45" s="45" t="n"/>
      <c r="N45" s="45" t="n"/>
      <c r="O45" s="45" t="n"/>
      <c r="P45" s="45" t="n"/>
      <c r="Q45" s="45" t="n"/>
      <c r="R45" s="45" t="n"/>
      <c r="S45" s="46">
        <f>IFERROR(R45/Q45,"")</f>
        <v/>
      </c>
      <c r="T45" s="45" t="n"/>
      <c r="U45" s="45" t="n"/>
      <c r="V45" s="45" t="n"/>
      <c r="W45" s="45" t="n"/>
      <c r="X45" s="45" t="n"/>
      <c r="Y45" s="46">
        <f>IFERROR(X45/W45,"")</f>
        <v/>
      </c>
      <c r="Z45" s="47" t="n"/>
      <c r="AA45" s="47" t="n"/>
      <c r="AB45" s="48">
        <f>IFERROR(AA45-Z45,"")</f>
        <v/>
      </c>
      <c r="AC45" s="44" t="n"/>
      <c r="AD45" s="44" t="n"/>
      <c r="AE45" s="44" t="n"/>
    </row>
    <row r="46" ht="15" customHeight="1" s="26">
      <c r="A46" s="43" t="n">
        <v>43</v>
      </c>
      <c r="B46" s="44" t="n"/>
      <c r="C46" s="44" t="n"/>
      <c r="D46" s="44" t="n"/>
      <c r="E46" s="44" t="n"/>
      <c r="F46" s="44" t="n"/>
      <c r="G46" s="45" t="n"/>
      <c r="H46" s="45" t="n"/>
      <c r="I46" s="46">
        <f>IFERROR(H46/G46,"")</f>
        <v/>
      </c>
      <c r="J46" s="45" t="n"/>
      <c r="K46" s="45" t="n"/>
      <c r="L46" s="45" t="n"/>
      <c r="M46" s="45" t="n"/>
      <c r="N46" s="45" t="n"/>
      <c r="O46" s="45" t="n"/>
      <c r="P46" s="45" t="n"/>
      <c r="Q46" s="45" t="n"/>
      <c r="R46" s="45" t="n"/>
      <c r="S46" s="46">
        <f>IFERROR(R46/Q46,"")</f>
        <v/>
      </c>
      <c r="T46" s="45" t="n"/>
      <c r="U46" s="45" t="n"/>
      <c r="V46" s="45" t="n"/>
      <c r="W46" s="45" t="n"/>
      <c r="X46" s="45" t="n"/>
      <c r="Y46" s="46">
        <f>IFERROR(X46/W46,"")</f>
        <v/>
      </c>
      <c r="Z46" s="47" t="n"/>
      <c r="AA46" s="47" t="n"/>
      <c r="AB46" s="48">
        <f>IFERROR(AA46-Z46,"")</f>
        <v/>
      </c>
      <c r="AC46" s="44" t="n"/>
      <c r="AD46" s="44" t="n"/>
      <c r="AE46" s="44" t="n"/>
    </row>
    <row r="47" ht="15" customHeight="1" s="26">
      <c r="A47" s="43" t="n">
        <v>44</v>
      </c>
      <c r="B47" s="44" t="n"/>
      <c r="C47" s="44" t="n"/>
      <c r="D47" s="44" t="n"/>
      <c r="E47" s="44" t="n"/>
      <c r="F47" s="44" t="n"/>
      <c r="G47" s="45" t="n"/>
      <c r="H47" s="45" t="n"/>
      <c r="I47" s="46">
        <f>IFERROR(H47/G47,"")</f>
        <v/>
      </c>
      <c r="J47" s="45" t="n"/>
      <c r="K47" s="45" t="n"/>
      <c r="L47" s="45" t="n"/>
      <c r="M47" s="45" t="n"/>
      <c r="N47" s="45" t="n"/>
      <c r="O47" s="45" t="n"/>
      <c r="P47" s="45" t="n"/>
      <c r="Q47" s="45" t="n"/>
      <c r="R47" s="45" t="n"/>
      <c r="S47" s="46">
        <f>IFERROR(R47/Q47,"")</f>
        <v/>
      </c>
      <c r="T47" s="45" t="n"/>
      <c r="U47" s="45" t="n"/>
      <c r="V47" s="45" t="n"/>
      <c r="W47" s="45" t="n"/>
      <c r="X47" s="45" t="n"/>
      <c r="Y47" s="46">
        <f>IFERROR(X47/W47,"")</f>
        <v/>
      </c>
      <c r="Z47" s="47" t="n"/>
      <c r="AA47" s="47" t="n"/>
      <c r="AB47" s="48">
        <f>IFERROR(AA47-Z47,"")</f>
        <v/>
      </c>
      <c r="AC47" s="44" t="n"/>
      <c r="AD47" s="44" t="n"/>
      <c r="AE47" s="44" t="n"/>
    </row>
    <row r="48" ht="15" customHeight="1" s="26">
      <c r="A48" s="43" t="n">
        <v>45</v>
      </c>
      <c r="B48" s="44" t="n"/>
      <c r="C48" s="44" t="n"/>
      <c r="D48" s="44" t="n"/>
      <c r="E48" s="44" t="n"/>
      <c r="F48" s="44" t="n"/>
      <c r="G48" s="45" t="n"/>
      <c r="H48" s="45" t="n"/>
      <c r="I48" s="46">
        <f>IFERROR(H48/G48,"")</f>
        <v/>
      </c>
      <c r="J48" s="45" t="n"/>
      <c r="K48" s="45" t="n"/>
      <c r="L48" s="45" t="n"/>
      <c r="M48" s="45" t="n"/>
      <c r="N48" s="45" t="n"/>
      <c r="O48" s="45" t="n"/>
      <c r="P48" s="45" t="n"/>
      <c r="Q48" s="45" t="n"/>
      <c r="R48" s="45" t="n"/>
      <c r="S48" s="46">
        <f>IFERROR(R48/Q48,"")</f>
        <v/>
      </c>
      <c r="T48" s="45" t="n"/>
      <c r="U48" s="45" t="n"/>
      <c r="V48" s="45" t="n"/>
      <c r="W48" s="45" t="n"/>
      <c r="X48" s="45" t="n"/>
      <c r="Y48" s="46">
        <f>IFERROR(X48/W48,"")</f>
        <v/>
      </c>
      <c r="Z48" s="47" t="n"/>
      <c r="AA48" s="47" t="n"/>
      <c r="AB48" s="48">
        <f>IFERROR(AA48-Z48,"")</f>
        <v/>
      </c>
      <c r="AC48" s="44" t="n"/>
      <c r="AD48" s="44" t="n"/>
      <c r="AE48" s="44" t="n"/>
    </row>
    <row r="49" ht="15" customHeight="1" s="26">
      <c r="A49" s="43" t="n">
        <v>46</v>
      </c>
      <c r="B49" s="44" t="n"/>
      <c r="C49" s="44" t="n"/>
      <c r="D49" s="44" t="n"/>
      <c r="E49" s="44" t="n"/>
      <c r="F49" s="44" t="n"/>
      <c r="G49" s="45" t="n"/>
      <c r="H49" s="45" t="n"/>
      <c r="I49" s="46">
        <f>IFERROR(H49/G49,"")</f>
        <v/>
      </c>
      <c r="J49" s="45" t="n"/>
      <c r="K49" s="45" t="n"/>
      <c r="L49" s="45" t="n"/>
      <c r="M49" s="45" t="n"/>
      <c r="N49" s="45" t="n"/>
      <c r="O49" s="45" t="n"/>
      <c r="P49" s="45" t="n"/>
      <c r="Q49" s="45" t="n"/>
      <c r="R49" s="45" t="n"/>
      <c r="S49" s="46">
        <f>IFERROR(R49/Q49,"")</f>
        <v/>
      </c>
      <c r="T49" s="45" t="n"/>
      <c r="U49" s="45" t="n"/>
      <c r="V49" s="45" t="n"/>
      <c r="W49" s="45" t="n"/>
      <c r="X49" s="45" t="n"/>
      <c r="Y49" s="46">
        <f>IFERROR(X49/W49,"")</f>
        <v/>
      </c>
      <c r="Z49" s="47" t="n"/>
      <c r="AA49" s="47" t="n"/>
      <c r="AB49" s="48">
        <f>IFERROR(AA49-Z49,"")</f>
        <v/>
      </c>
      <c r="AC49" s="44" t="n"/>
      <c r="AD49" s="44" t="n"/>
      <c r="AE49" s="44" t="n"/>
    </row>
    <row r="50" ht="15" customHeight="1" s="26">
      <c r="A50" s="43" t="n">
        <v>47</v>
      </c>
      <c r="B50" s="44" t="n"/>
      <c r="C50" s="44" t="n"/>
      <c r="D50" s="44" t="n"/>
      <c r="E50" s="44" t="n"/>
      <c r="F50" s="44" t="n"/>
      <c r="G50" s="45" t="n"/>
      <c r="H50" s="45" t="n"/>
      <c r="I50" s="46">
        <f>IFERROR(H50/G50,"")</f>
        <v/>
      </c>
      <c r="J50" s="45" t="n"/>
      <c r="K50" s="45" t="n"/>
      <c r="L50" s="45" t="n"/>
      <c r="M50" s="45" t="n"/>
      <c r="N50" s="45" t="n"/>
      <c r="O50" s="45" t="n"/>
      <c r="P50" s="45" t="n"/>
      <c r="Q50" s="45" t="n"/>
      <c r="R50" s="45" t="n"/>
      <c r="S50" s="46">
        <f>IFERROR(R50/Q50,"")</f>
        <v/>
      </c>
      <c r="T50" s="45" t="n"/>
      <c r="U50" s="45" t="n"/>
      <c r="V50" s="45" t="n"/>
      <c r="W50" s="45" t="n"/>
      <c r="X50" s="45" t="n"/>
      <c r="Y50" s="46">
        <f>IFERROR(X50/W50,"")</f>
        <v/>
      </c>
      <c r="Z50" s="47" t="n"/>
      <c r="AA50" s="47" t="n"/>
      <c r="AB50" s="48">
        <f>IFERROR(AA50-Z50,"")</f>
        <v/>
      </c>
      <c r="AC50" s="44" t="n"/>
      <c r="AD50" s="44" t="n"/>
      <c r="AE50" s="44" t="n"/>
    </row>
    <row r="51" ht="15" customHeight="1" s="26">
      <c r="A51" s="43" t="n">
        <v>48</v>
      </c>
      <c r="B51" s="44" t="n"/>
      <c r="C51" s="44" t="n"/>
      <c r="D51" s="44" t="n"/>
      <c r="E51" s="44" t="n"/>
      <c r="F51" s="44" t="n"/>
      <c r="G51" s="45" t="n"/>
      <c r="H51" s="45" t="n"/>
      <c r="I51" s="46">
        <f>IFERROR(H51/G51,"")</f>
        <v/>
      </c>
      <c r="J51" s="45" t="n"/>
      <c r="K51" s="45" t="n"/>
      <c r="L51" s="45" t="n"/>
      <c r="M51" s="45" t="n"/>
      <c r="N51" s="45" t="n"/>
      <c r="O51" s="45" t="n"/>
      <c r="P51" s="45" t="n"/>
      <c r="Q51" s="45" t="n"/>
      <c r="R51" s="45" t="n"/>
      <c r="S51" s="46">
        <f>IFERROR(R51/Q51,"")</f>
        <v/>
      </c>
      <c r="T51" s="45" t="n"/>
      <c r="U51" s="45" t="n"/>
      <c r="V51" s="45" t="n"/>
      <c r="W51" s="45" t="n"/>
      <c r="X51" s="45" t="n"/>
      <c r="Y51" s="46">
        <f>IFERROR(X51/W51,"")</f>
        <v/>
      </c>
      <c r="Z51" s="47" t="n"/>
      <c r="AA51" s="47" t="n"/>
      <c r="AB51" s="48">
        <f>IFERROR(AA51-Z51,"")</f>
        <v/>
      </c>
      <c r="AC51" s="44" t="n"/>
      <c r="AD51" s="44" t="n"/>
      <c r="AE51" s="44" t="n"/>
    </row>
    <row r="52" ht="15" customHeight="1" s="26">
      <c r="A52" s="43" t="n">
        <v>49</v>
      </c>
      <c r="B52" s="44" t="n"/>
      <c r="C52" s="44" t="n"/>
      <c r="D52" s="44" t="n"/>
      <c r="E52" s="44" t="n"/>
      <c r="F52" s="44" t="n"/>
      <c r="G52" s="45" t="n"/>
      <c r="H52" s="45" t="n"/>
      <c r="I52" s="46">
        <f>IFERROR(H52/G52,"")</f>
        <v/>
      </c>
      <c r="J52" s="45" t="n"/>
      <c r="K52" s="45" t="n"/>
      <c r="L52" s="45" t="n"/>
      <c r="M52" s="45" t="n"/>
      <c r="N52" s="45" t="n"/>
      <c r="O52" s="45" t="n"/>
      <c r="P52" s="45" t="n"/>
      <c r="Q52" s="45" t="n"/>
      <c r="R52" s="45" t="n"/>
      <c r="S52" s="46">
        <f>IFERROR(R52/Q52,"")</f>
        <v/>
      </c>
      <c r="T52" s="45" t="n"/>
      <c r="U52" s="45" t="n"/>
      <c r="V52" s="45" t="n"/>
      <c r="W52" s="45" t="n"/>
      <c r="X52" s="45" t="n"/>
      <c r="Y52" s="46">
        <f>IFERROR(X52/W52,"")</f>
        <v/>
      </c>
      <c r="Z52" s="47" t="n"/>
      <c r="AA52" s="47" t="n"/>
      <c r="AB52" s="48">
        <f>IFERROR(AA52-Z52,"")</f>
        <v/>
      </c>
      <c r="AC52" s="44" t="n"/>
      <c r="AD52" s="44" t="n"/>
      <c r="AE52" s="44" t="n"/>
    </row>
    <row r="53" ht="15" customHeight="1" s="26">
      <c r="A53" s="43" t="n">
        <v>50</v>
      </c>
      <c r="B53" s="44" t="n"/>
      <c r="C53" s="44" t="n"/>
      <c r="D53" s="44" t="n"/>
      <c r="E53" s="44" t="n"/>
      <c r="F53" s="44" t="n"/>
      <c r="G53" s="45" t="n"/>
      <c r="H53" s="45" t="n"/>
      <c r="I53" s="46">
        <f>IFERROR(H53/G53,"")</f>
        <v/>
      </c>
      <c r="J53" s="45" t="n"/>
      <c r="K53" s="45" t="n"/>
      <c r="L53" s="45" t="n"/>
      <c r="M53" s="45" t="n"/>
      <c r="N53" s="45" t="n"/>
      <c r="O53" s="45" t="n"/>
      <c r="P53" s="45" t="n"/>
      <c r="Q53" s="45" t="n"/>
      <c r="R53" s="45" t="n"/>
      <c r="S53" s="46">
        <f>IFERROR(R53/Q53,"")</f>
        <v/>
      </c>
      <c r="T53" s="45" t="n"/>
      <c r="U53" s="45" t="n"/>
      <c r="V53" s="45" t="n"/>
      <c r="W53" s="45" t="n"/>
      <c r="X53" s="45" t="n"/>
      <c r="Y53" s="46">
        <f>IFERROR(X53/W53,"")</f>
        <v/>
      </c>
      <c r="Z53" s="47" t="n"/>
      <c r="AA53" s="47" t="n"/>
      <c r="AB53" s="48">
        <f>IFERROR(AA53-Z53,"")</f>
        <v/>
      </c>
      <c r="AC53" s="44" t="n"/>
      <c r="AD53" s="44" t="n"/>
      <c r="AE53" s="44" t="n"/>
    </row>
    <row r="54" ht="15" customHeight="1" s="26">
      <c r="A54" s="43" t="n">
        <v>51</v>
      </c>
      <c r="B54" s="44" t="n"/>
      <c r="C54" s="44" t="n"/>
      <c r="D54" s="44" t="n"/>
      <c r="E54" s="44" t="n"/>
      <c r="F54" s="44" t="n"/>
      <c r="G54" s="45" t="n"/>
      <c r="H54" s="45" t="n"/>
      <c r="I54" s="46">
        <f>IFERROR(H54/G54,"")</f>
        <v/>
      </c>
      <c r="J54" s="45" t="n"/>
      <c r="K54" s="45" t="n"/>
      <c r="L54" s="45" t="n"/>
      <c r="M54" s="45" t="n"/>
      <c r="N54" s="45" t="n"/>
      <c r="O54" s="45" t="n"/>
      <c r="P54" s="45" t="n"/>
      <c r="Q54" s="45" t="n"/>
      <c r="R54" s="45" t="n"/>
      <c r="S54" s="46">
        <f>IFERROR(R54/Q54,"")</f>
        <v/>
      </c>
      <c r="T54" s="45" t="n"/>
      <c r="U54" s="45" t="n"/>
      <c r="V54" s="45" t="n"/>
      <c r="W54" s="45" t="n"/>
      <c r="X54" s="45" t="n"/>
      <c r="Y54" s="46">
        <f>IFERROR(X54/W54,"")</f>
        <v/>
      </c>
      <c r="Z54" s="47" t="n"/>
      <c r="AA54" s="47" t="n"/>
      <c r="AB54" s="48">
        <f>IFERROR(AA54-Z54,"")</f>
        <v/>
      </c>
      <c r="AC54" s="44" t="n"/>
      <c r="AD54" s="44" t="n"/>
      <c r="AE54" s="44" t="n"/>
    </row>
    <row r="55" ht="15" customHeight="1" s="26">
      <c r="A55" s="43" t="n">
        <v>52</v>
      </c>
      <c r="B55" s="44" t="n"/>
      <c r="C55" s="44" t="n"/>
      <c r="D55" s="44" t="n"/>
      <c r="E55" s="44" t="n"/>
      <c r="F55" s="44" t="n"/>
      <c r="G55" s="45" t="n"/>
      <c r="H55" s="45" t="n"/>
      <c r="I55" s="46">
        <f>IFERROR(H55/G55,"")</f>
        <v/>
      </c>
      <c r="J55" s="45" t="n"/>
      <c r="K55" s="45" t="n"/>
      <c r="L55" s="45" t="n"/>
      <c r="M55" s="45" t="n"/>
      <c r="N55" s="45" t="n"/>
      <c r="O55" s="45" t="n"/>
      <c r="P55" s="45" t="n"/>
      <c r="Q55" s="45" t="n"/>
      <c r="R55" s="45" t="n"/>
      <c r="S55" s="46">
        <f>IFERROR(R55/Q55,"")</f>
        <v/>
      </c>
      <c r="T55" s="45" t="n"/>
      <c r="U55" s="45" t="n"/>
      <c r="V55" s="45" t="n"/>
      <c r="W55" s="45" t="n"/>
      <c r="X55" s="45" t="n"/>
      <c r="Y55" s="46">
        <f>IFERROR(X55/W55,"")</f>
        <v/>
      </c>
      <c r="Z55" s="47" t="n"/>
      <c r="AA55" s="47" t="n"/>
      <c r="AB55" s="48">
        <f>IFERROR(AA55-Z55,"")</f>
        <v/>
      </c>
      <c r="AC55" s="44" t="n"/>
      <c r="AD55" s="44" t="n"/>
      <c r="AE55" s="44" t="n"/>
    </row>
    <row r="56" ht="15" customHeight="1" s="26">
      <c r="A56" s="43" t="n">
        <v>53</v>
      </c>
      <c r="B56" s="44" t="n"/>
      <c r="C56" s="44" t="n"/>
      <c r="D56" s="44" t="n"/>
      <c r="E56" s="44" t="n"/>
      <c r="F56" s="44" t="n"/>
      <c r="G56" s="45" t="n"/>
      <c r="H56" s="45" t="n"/>
      <c r="I56" s="46">
        <f>IFERROR(H56/G56,"")</f>
        <v/>
      </c>
      <c r="J56" s="45" t="n"/>
      <c r="K56" s="45" t="n"/>
      <c r="L56" s="45" t="n"/>
      <c r="M56" s="45" t="n"/>
      <c r="N56" s="45" t="n"/>
      <c r="O56" s="45" t="n"/>
      <c r="P56" s="45" t="n"/>
      <c r="Q56" s="45" t="n"/>
      <c r="R56" s="45" t="n"/>
      <c r="S56" s="46">
        <f>IFERROR(R56/Q56,"")</f>
        <v/>
      </c>
      <c r="T56" s="45" t="n"/>
      <c r="U56" s="45" t="n"/>
      <c r="V56" s="45" t="n"/>
      <c r="W56" s="45" t="n"/>
      <c r="X56" s="45" t="n"/>
      <c r="Y56" s="46">
        <f>IFERROR(X56/W56,"")</f>
        <v/>
      </c>
      <c r="Z56" s="47" t="n"/>
      <c r="AA56" s="47" t="n"/>
      <c r="AB56" s="48">
        <f>IFERROR(AA56-Z56,"")</f>
        <v/>
      </c>
      <c r="AC56" s="44" t="n"/>
      <c r="AD56" s="44" t="n"/>
      <c r="AE56" s="44" t="n"/>
    </row>
    <row r="57" ht="15" customHeight="1" s="26">
      <c r="A57" s="43" t="n">
        <v>54</v>
      </c>
      <c r="B57" s="44" t="n"/>
      <c r="C57" s="44" t="n"/>
      <c r="D57" s="44" t="n"/>
      <c r="E57" s="44" t="n"/>
      <c r="F57" s="44" t="n"/>
      <c r="G57" s="45" t="n"/>
      <c r="H57" s="45" t="n"/>
      <c r="I57" s="46">
        <f>IFERROR(H57/G57,"")</f>
        <v/>
      </c>
      <c r="J57" s="45" t="n"/>
      <c r="K57" s="45" t="n"/>
      <c r="L57" s="45" t="n"/>
      <c r="M57" s="45" t="n"/>
      <c r="N57" s="45" t="n"/>
      <c r="O57" s="45" t="n"/>
      <c r="P57" s="45" t="n"/>
      <c r="Q57" s="45" t="n"/>
      <c r="R57" s="45" t="n"/>
      <c r="S57" s="46">
        <f>IFERROR(R57/Q57,"")</f>
        <v/>
      </c>
      <c r="T57" s="45" t="n"/>
      <c r="U57" s="45" t="n"/>
      <c r="V57" s="45" t="n"/>
      <c r="W57" s="45" t="n"/>
      <c r="X57" s="45" t="n"/>
      <c r="Y57" s="46">
        <f>IFERROR(X57/W57,"")</f>
        <v/>
      </c>
      <c r="Z57" s="47" t="n"/>
      <c r="AA57" s="47" t="n"/>
      <c r="AB57" s="48">
        <f>IFERROR(AA57-Z57,"")</f>
        <v/>
      </c>
      <c r="AC57" s="44" t="n"/>
      <c r="AD57" s="44" t="n"/>
      <c r="AE57" s="44" t="n"/>
    </row>
    <row r="58" ht="15" customHeight="1" s="26">
      <c r="A58" s="43" t="n">
        <v>55</v>
      </c>
      <c r="B58" s="44" t="n"/>
      <c r="C58" s="44" t="n"/>
      <c r="D58" s="44" t="n"/>
      <c r="E58" s="44" t="n"/>
      <c r="F58" s="44" t="n"/>
      <c r="G58" s="45" t="n"/>
      <c r="H58" s="45" t="n"/>
      <c r="I58" s="46">
        <f>IFERROR(H58/G58,"")</f>
        <v/>
      </c>
      <c r="J58" s="45" t="n"/>
      <c r="K58" s="45" t="n"/>
      <c r="L58" s="45" t="n"/>
      <c r="M58" s="45" t="n"/>
      <c r="N58" s="45" t="n"/>
      <c r="O58" s="45" t="n"/>
      <c r="P58" s="45" t="n"/>
      <c r="Q58" s="45" t="n"/>
      <c r="R58" s="45" t="n"/>
      <c r="S58" s="46">
        <f>IFERROR(R58/Q58,"")</f>
        <v/>
      </c>
      <c r="T58" s="45" t="n"/>
      <c r="U58" s="45" t="n"/>
      <c r="V58" s="45" t="n"/>
      <c r="W58" s="45" t="n"/>
      <c r="X58" s="45" t="n"/>
      <c r="Y58" s="46">
        <f>IFERROR(X58/W58,"")</f>
        <v/>
      </c>
      <c r="Z58" s="47" t="n"/>
      <c r="AA58" s="47" t="n"/>
      <c r="AB58" s="48">
        <f>IFERROR(AA58-Z58,"")</f>
        <v/>
      </c>
      <c r="AC58" s="44" t="n"/>
      <c r="AD58" s="44" t="n"/>
      <c r="AE58" s="44" t="n"/>
    </row>
    <row r="59" ht="15" customHeight="1" s="26">
      <c r="A59" s="43" t="n">
        <v>56</v>
      </c>
      <c r="B59" s="44" t="n"/>
      <c r="C59" s="44" t="n"/>
      <c r="D59" s="44" t="n"/>
      <c r="E59" s="44" t="n"/>
      <c r="F59" s="44" t="n"/>
      <c r="G59" s="45" t="n"/>
      <c r="H59" s="45" t="n"/>
      <c r="I59" s="46">
        <f>IFERROR(H59/G59,"")</f>
        <v/>
      </c>
      <c r="J59" s="45" t="n"/>
      <c r="K59" s="45" t="n"/>
      <c r="L59" s="45" t="n"/>
      <c r="M59" s="45" t="n"/>
      <c r="N59" s="45" t="n"/>
      <c r="O59" s="45" t="n"/>
      <c r="P59" s="45" t="n"/>
      <c r="Q59" s="45" t="n"/>
      <c r="R59" s="45" t="n"/>
      <c r="S59" s="46">
        <f>IFERROR(R59/Q59,"")</f>
        <v/>
      </c>
      <c r="T59" s="45" t="n"/>
      <c r="U59" s="45" t="n"/>
      <c r="V59" s="45" t="n"/>
      <c r="W59" s="45" t="n"/>
      <c r="X59" s="45" t="n"/>
      <c r="Y59" s="46">
        <f>IFERROR(X59/W59,"")</f>
        <v/>
      </c>
      <c r="Z59" s="47" t="n"/>
      <c r="AA59" s="47" t="n"/>
      <c r="AB59" s="48">
        <f>IFERROR(AA59-Z59,"")</f>
        <v/>
      </c>
      <c r="AC59" s="44" t="n"/>
      <c r="AD59" s="44" t="n"/>
      <c r="AE59" s="44" t="n"/>
    </row>
    <row r="60" ht="15" customHeight="1" s="26">
      <c r="A60" s="43" t="n">
        <v>57</v>
      </c>
      <c r="B60" s="44" t="n"/>
      <c r="C60" s="44" t="n"/>
      <c r="D60" s="44" t="n"/>
      <c r="E60" s="44" t="n"/>
      <c r="F60" s="44" t="n"/>
      <c r="G60" s="45" t="n"/>
      <c r="H60" s="45" t="n"/>
      <c r="I60" s="46">
        <f>IFERROR(H60/G60,"")</f>
        <v/>
      </c>
      <c r="J60" s="45" t="n"/>
      <c r="K60" s="45" t="n"/>
      <c r="L60" s="45" t="n"/>
      <c r="M60" s="45" t="n"/>
      <c r="N60" s="45" t="n"/>
      <c r="O60" s="45" t="n"/>
      <c r="P60" s="45" t="n"/>
      <c r="Q60" s="45" t="n"/>
      <c r="R60" s="45" t="n"/>
      <c r="S60" s="46">
        <f>IFERROR(R60/Q60,"")</f>
        <v/>
      </c>
      <c r="T60" s="45" t="n"/>
      <c r="U60" s="45" t="n"/>
      <c r="V60" s="45" t="n"/>
      <c r="W60" s="45" t="n"/>
      <c r="X60" s="45" t="n"/>
      <c r="Y60" s="46">
        <f>IFERROR(X60/W60,"")</f>
        <v/>
      </c>
      <c r="Z60" s="47" t="n"/>
      <c r="AA60" s="47" t="n"/>
      <c r="AB60" s="48">
        <f>IFERROR(AA60-Z60,"")</f>
        <v/>
      </c>
      <c r="AC60" s="44" t="n"/>
      <c r="AD60" s="44" t="n"/>
      <c r="AE60" s="44" t="n"/>
    </row>
    <row r="61" ht="15" customHeight="1" s="26">
      <c r="A61" s="43" t="n">
        <v>58</v>
      </c>
      <c r="B61" s="44" t="n"/>
      <c r="C61" s="44" t="n"/>
      <c r="D61" s="44" t="n"/>
      <c r="E61" s="44" t="n"/>
      <c r="F61" s="44" t="n"/>
      <c r="G61" s="45" t="n"/>
      <c r="H61" s="45" t="n"/>
      <c r="I61" s="46">
        <f>IFERROR(H61/G61,"")</f>
        <v/>
      </c>
      <c r="J61" s="45" t="n"/>
      <c r="K61" s="45" t="n"/>
      <c r="L61" s="45" t="n"/>
      <c r="M61" s="45" t="n"/>
      <c r="N61" s="45" t="n"/>
      <c r="O61" s="45" t="n"/>
      <c r="P61" s="45" t="n"/>
      <c r="Q61" s="45" t="n"/>
      <c r="R61" s="45" t="n"/>
      <c r="S61" s="46">
        <f>IFERROR(R61/Q61,"")</f>
        <v/>
      </c>
      <c r="T61" s="45" t="n"/>
      <c r="U61" s="45" t="n"/>
      <c r="V61" s="45" t="n"/>
      <c r="W61" s="45" t="n"/>
      <c r="X61" s="45" t="n"/>
      <c r="Y61" s="46">
        <f>IFERROR(X61/W61,"")</f>
        <v/>
      </c>
      <c r="Z61" s="47" t="n"/>
      <c r="AA61" s="47" t="n"/>
      <c r="AB61" s="48">
        <f>IFERROR(AA61-Z61,"")</f>
        <v/>
      </c>
      <c r="AC61" s="44" t="n"/>
      <c r="AD61" s="44" t="n"/>
      <c r="AE61" s="44" t="n"/>
    </row>
    <row r="62" ht="15" customHeight="1" s="26">
      <c r="A62" s="43" t="n">
        <v>59</v>
      </c>
      <c r="B62" s="44" t="n"/>
      <c r="C62" s="44" t="n"/>
      <c r="D62" s="44" t="n"/>
      <c r="E62" s="44" t="n"/>
      <c r="F62" s="44" t="n"/>
      <c r="G62" s="45" t="n"/>
      <c r="H62" s="45" t="n"/>
      <c r="I62" s="46">
        <f>IFERROR(H62/G62,"")</f>
        <v/>
      </c>
      <c r="J62" s="45" t="n"/>
      <c r="K62" s="45" t="n"/>
      <c r="L62" s="45" t="n"/>
      <c r="M62" s="45" t="n"/>
      <c r="N62" s="45" t="n"/>
      <c r="O62" s="45" t="n"/>
      <c r="P62" s="45" t="n"/>
      <c r="Q62" s="45" t="n"/>
      <c r="R62" s="45" t="n"/>
      <c r="S62" s="46">
        <f>IFERROR(R62/Q62,"")</f>
        <v/>
      </c>
      <c r="T62" s="45" t="n"/>
      <c r="U62" s="45" t="n"/>
      <c r="V62" s="45" t="n"/>
      <c r="W62" s="45" t="n"/>
      <c r="X62" s="45" t="n"/>
      <c r="Y62" s="46">
        <f>IFERROR(X62/W62,"")</f>
        <v/>
      </c>
      <c r="Z62" s="47" t="n"/>
      <c r="AA62" s="47" t="n"/>
      <c r="AB62" s="48">
        <f>IFERROR(AA62-Z62,"")</f>
        <v/>
      </c>
      <c r="AC62" s="44" t="n"/>
      <c r="AD62" s="44" t="n"/>
      <c r="AE62" s="44" t="n"/>
    </row>
    <row r="63" ht="15" customHeight="1" s="26">
      <c r="A63" s="43" t="n">
        <v>60</v>
      </c>
      <c r="B63" s="44" t="n"/>
      <c r="C63" s="44" t="n"/>
      <c r="D63" s="44" t="n"/>
      <c r="E63" s="44" t="n"/>
      <c r="F63" s="44" t="n"/>
      <c r="G63" s="45" t="n"/>
      <c r="H63" s="45" t="n"/>
      <c r="I63" s="46">
        <f>IFERROR(H63/G63,"")</f>
        <v/>
      </c>
      <c r="J63" s="45" t="n"/>
      <c r="K63" s="45" t="n"/>
      <c r="L63" s="45" t="n"/>
      <c r="M63" s="45" t="n"/>
      <c r="N63" s="45" t="n"/>
      <c r="O63" s="45" t="n"/>
      <c r="P63" s="45" t="n"/>
      <c r="Q63" s="45" t="n"/>
      <c r="R63" s="45" t="n"/>
      <c r="S63" s="46">
        <f>IFERROR(R63/Q63,"")</f>
        <v/>
      </c>
      <c r="T63" s="45" t="n"/>
      <c r="U63" s="45" t="n"/>
      <c r="V63" s="45" t="n"/>
      <c r="W63" s="45" t="n"/>
      <c r="X63" s="45" t="n"/>
      <c r="Y63" s="46">
        <f>IFERROR(X63/W63,"")</f>
        <v/>
      </c>
      <c r="Z63" s="47" t="n"/>
      <c r="AA63" s="47" t="n"/>
      <c r="AB63" s="48">
        <f>IFERROR(AA63-Z63,"")</f>
        <v/>
      </c>
      <c r="AC63" s="44" t="n"/>
      <c r="AD63" s="44" t="n"/>
      <c r="AE63" s="44" t="n"/>
    </row>
    <row r="64" ht="15" customHeight="1" s="26">
      <c r="A64" s="43" t="n">
        <v>61</v>
      </c>
      <c r="B64" s="44" t="n"/>
      <c r="C64" s="44" t="n"/>
      <c r="D64" s="44" t="n"/>
      <c r="E64" s="44" t="n"/>
      <c r="F64" s="44" t="n"/>
      <c r="G64" s="45" t="n"/>
      <c r="H64" s="45" t="n"/>
      <c r="I64" s="46">
        <f>IFERROR(H64/G64,"")</f>
        <v/>
      </c>
      <c r="J64" s="45" t="n"/>
      <c r="K64" s="45" t="n"/>
      <c r="L64" s="45" t="n"/>
      <c r="M64" s="45" t="n"/>
      <c r="N64" s="45" t="n"/>
      <c r="O64" s="45" t="n"/>
      <c r="P64" s="45" t="n"/>
      <c r="Q64" s="45" t="n"/>
      <c r="R64" s="45" t="n"/>
      <c r="S64" s="46">
        <f>IFERROR(R64/Q64,"")</f>
        <v/>
      </c>
      <c r="T64" s="45" t="n"/>
      <c r="U64" s="45" t="n"/>
      <c r="V64" s="45" t="n"/>
      <c r="W64" s="45" t="n"/>
      <c r="X64" s="45" t="n"/>
      <c r="Y64" s="46">
        <f>IFERROR(X64/W64,"")</f>
        <v/>
      </c>
      <c r="Z64" s="47" t="n"/>
      <c r="AA64" s="47" t="n"/>
      <c r="AB64" s="48">
        <f>IFERROR(AA64-Z64,"")</f>
        <v/>
      </c>
      <c r="AC64" s="44" t="n"/>
      <c r="AD64" s="44" t="n"/>
      <c r="AE64" s="44" t="n"/>
    </row>
    <row r="65" ht="15" customHeight="1" s="26">
      <c r="A65" s="43" t="n">
        <v>62</v>
      </c>
      <c r="B65" s="44" t="n"/>
      <c r="C65" s="44" t="n"/>
      <c r="D65" s="44" t="n"/>
      <c r="E65" s="44" t="n"/>
      <c r="F65" s="44" t="n"/>
      <c r="G65" s="45" t="n"/>
      <c r="H65" s="45" t="n"/>
      <c r="I65" s="46">
        <f>IFERROR(H65/G65,"")</f>
        <v/>
      </c>
      <c r="J65" s="45" t="n"/>
      <c r="K65" s="45" t="n"/>
      <c r="L65" s="45" t="n"/>
      <c r="M65" s="45" t="n"/>
      <c r="N65" s="45" t="n"/>
      <c r="O65" s="45" t="n"/>
      <c r="P65" s="45" t="n"/>
      <c r="Q65" s="45" t="n"/>
      <c r="R65" s="45" t="n"/>
      <c r="S65" s="46">
        <f>IFERROR(R65/Q65,"")</f>
        <v/>
      </c>
      <c r="T65" s="45" t="n"/>
      <c r="U65" s="45" t="n"/>
      <c r="V65" s="45" t="n"/>
      <c r="W65" s="45" t="n"/>
      <c r="X65" s="45" t="n"/>
      <c r="Y65" s="46">
        <f>IFERROR(X65/W65,"")</f>
        <v/>
      </c>
      <c r="Z65" s="47" t="n"/>
      <c r="AA65" s="47" t="n"/>
      <c r="AB65" s="48">
        <f>IFERROR(AA65-Z65,"")</f>
        <v/>
      </c>
      <c r="AC65" s="44" t="n"/>
      <c r="AD65" s="44" t="n"/>
      <c r="AE65" s="44" t="n"/>
    </row>
    <row r="66" ht="15" customHeight="1" s="26">
      <c r="A66" s="43" t="n">
        <v>63</v>
      </c>
      <c r="B66" s="44" t="n"/>
      <c r="C66" s="44" t="n"/>
      <c r="D66" s="44" t="n"/>
      <c r="E66" s="44" t="n"/>
      <c r="F66" s="44" t="n"/>
      <c r="G66" s="45" t="n"/>
      <c r="H66" s="45" t="n"/>
      <c r="I66" s="46">
        <f>IFERROR(H66/G66,"")</f>
        <v/>
      </c>
      <c r="J66" s="45" t="n"/>
      <c r="K66" s="45" t="n"/>
      <c r="L66" s="45" t="n"/>
      <c r="M66" s="45" t="n"/>
      <c r="N66" s="45" t="n"/>
      <c r="O66" s="45" t="n"/>
      <c r="P66" s="45" t="n"/>
      <c r="Q66" s="45" t="n"/>
      <c r="R66" s="45" t="n"/>
      <c r="S66" s="46">
        <f>IFERROR(R66/Q66,"")</f>
        <v/>
      </c>
      <c r="T66" s="45" t="n"/>
      <c r="U66" s="45" t="n"/>
      <c r="V66" s="45" t="n"/>
      <c r="W66" s="45" t="n"/>
      <c r="X66" s="45" t="n"/>
      <c r="Y66" s="46">
        <f>IFERROR(X66/W66,"")</f>
        <v/>
      </c>
      <c r="Z66" s="47" t="n"/>
      <c r="AA66" s="47" t="n"/>
      <c r="AB66" s="48">
        <f>IFERROR(AA66-Z66,"")</f>
        <v/>
      </c>
      <c r="AC66" s="44" t="n"/>
      <c r="AD66" s="44" t="n"/>
      <c r="AE66" s="44" t="n"/>
    </row>
    <row r="67" ht="15" customHeight="1" s="26">
      <c r="A67" s="43" t="n">
        <v>64</v>
      </c>
      <c r="B67" s="44" t="n"/>
      <c r="C67" s="44" t="n"/>
      <c r="D67" s="44" t="n"/>
      <c r="E67" s="44" t="n"/>
      <c r="F67" s="44" t="n"/>
      <c r="G67" s="45" t="n"/>
      <c r="H67" s="45" t="n"/>
      <c r="I67" s="46">
        <f>IFERROR(H67/G67,"")</f>
        <v/>
      </c>
      <c r="J67" s="45" t="n"/>
      <c r="K67" s="45" t="n"/>
      <c r="L67" s="45" t="n"/>
      <c r="M67" s="45" t="n"/>
      <c r="N67" s="45" t="n"/>
      <c r="O67" s="45" t="n"/>
      <c r="P67" s="45" t="n"/>
      <c r="Q67" s="45" t="n"/>
      <c r="R67" s="45" t="n"/>
      <c r="S67" s="46">
        <f>IFERROR(R67/Q67,"")</f>
        <v/>
      </c>
      <c r="T67" s="45" t="n"/>
      <c r="U67" s="45" t="n"/>
      <c r="V67" s="45" t="n"/>
      <c r="W67" s="45" t="n"/>
      <c r="X67" s="45" t="n"/>
      <c r="Y67" s="46">
        <f>IFERROR(X67/W67,"")</f>
        <v/>
      </c>
      <c r="Z67" s="47" t="n"/>
      <c r="AA67" s="47" t="n"/>
      <c r="AB67" s="48">
        <f>IFERROR(AA67-Z67,"")</f>
        <v/>
      </c>
      <c r="AC67" s="44" t="n"/>
      <c r="AD67" s="44" t="n"/>
      <c r="AE67" s="44" t="n"/>
    </row>
    <row r="68" ht="15" customHeight="1" s="26">
      <c r="A68" s="43" t="n">
        <v>65</v>
      </c>
      <c r="B68" s="44" t="n"/>
      <c r="C68" s="44" t="n"/>
      <c r="D68" s="44" t="n"/>
      <c r="E68" s="44" t="n"/>
      <c r="F68" s="44" t="n"/>
      <c r="G68" s="45" t="n"/>
      <c r="H68" s="45" t="n"/>
      <c r="I68" s="46">
        <f>IFERROR(H68/G68,"")</f>
        <v/>
      </c>
      <c r="J68" s="45" t="n"/>
      <c r="K68" s="45" t="n"/>
      <c r="L68" s="45" t="n"/>
      <c r="M68" s="45" t="n"/>
      <c r="N68" s="45" t="n"/>
      <c r="O68" s="45" t="n"/>
      <c r="P68" s="45" t="n"/>
      <c r="Q68" s="45" t="n"/>
      <c r="R68" s="45" t="n"/>
      <c r="S68" s="46">
        <f>IFERROR(R68/Q68,"")</f>
        <v/>
      </c>
      <c r="T68" s="45" t="n"/>
      <c r="U68" s="45" t="n"/>
      <c r="V68" s="45" t="n"/>
      <c r="W68" s="45" t="n"/>
      <c r="X68" s="45" t="n"/>
      <c r="Y68" s="46">
        <f>IFERROR(X68/W68,"")</f>
        <v/>
      </c>
      <c r="Z68" s="47" t="n"/>
      <c r="AA68" s="47" t="n"/>
      <c r="AB68" s="48">
        <f>IFERROR(AA68-Z68,"")</f>
        <v/>
      </c>
      <c r="AC68" s="44" t="n"/>
      <c r="AD68" s="44" t="n"/>
      <c r="AE68" s="44" t="n"/>
    </row>
    <row r="69" ht="15" customHeight="1" s="26">
      <c r="A69" s="43" t="n">
        <v>66</v>
      </c>
      <c r="B69" s="44" t="n"/>
      <c r="C69" s="44" t="n"/>
      <c r="D69" s="44" t="n"/>
      <c r="E69" s="44" t="n"/>
      <c r="F69" s="44" t="n"/>
      <c r="G69" s="45" t="n"/>
      <c r="H69" s="45" t="n"/>
      <c r="I69" s="46">
        <f>IFERROR(H69/G69,"")</f>
        <v/>
      </c>
      <c r="J69" s="45" t="n"/>
      <c r="K69" s="45" t="n"/>
      <c r="L69" s="45" t="n"/>
      <c r="M69" s="45" t="n"/>
      <c r="N69" s="45" t="n"/>
      <c r="O69" s="45" t="n"/>
      <c r="P69" s="45" t="n"/>
      <c r="Q69" s="45" t="n"/>
      <c r="R69" s="45" t="n"/>
      <c r="S69" s="46">
        <f>IFERROR(R69/Q69,"")</f>
        <v/>
      </c>
      <c r="T69" s="45" t="n"/>
      <c r="U69" s="45" t="n"/>
      <c r="V69" s="45" t="n"/>
      <c r="W69" s="45" t="n"/>
      <c r="X69" s="45" t="n"/>
      <c r="Y69" s="46">
        <f>IFERROR(X69/W69,"")</f>
        <v/>
      </c>
      <c r="Z69" s="47" t="n"/>
      <c r="AA69" s="47" t="n"/>
      <c r="AB69" s="48">
        <f>IFERROR(AA69-Z69,"")</f>
        <v/>
      </c>
      <c r="AC69" s="44" t="n"/>
      <c r="AD69" s="44" t="n"/>
      <c r="AE69" s="44" t="n"/>
    </row>
    <row r="70" ht="15" customHeight="1" s="26">
      <c r="A70" s="43" t="n">
        <v>67</v>
      </c>
      <c r="B70" s="44" t="n"/>
      <c r="C70" s="44" t="n"/>
      <c r="D70" s="44" t="n"/>
      <c r="E70" s="44" t="n"/>
      <c r="F70" s="44" t="n"/>
      <c r="G70" s="45" t="n"/>
      <c r="H70" s="45" t="n"/>
      <c r="I70" s="46">
        <f>IFERROR(H70/G70,"")</f>
        <v/>
      </c>
      <c r="J70" s="45" t="n"/>
      <c r="K70" s="45" t="n"/>
      <c r="L70" s="45" t="n"/>
      <c r="M70" s="45" t="n"/>
      <c r="N70" s="45" t="n"/>
      <c r="O70" s="45" t="n"/>
      <c r="P70" s="45" t="n"/>
      <c r="Q70" s="45" t="n"/>
      <c r="R70" s="45" t="n"/>
      <c r="S70" s="46">
        <f>IFERROR(R70/Q70,"")</f>
        <v/>
      </c>
      <c r="T70" s="45" t="n"/>
      <c r="U70" s="45" t="n"/>
      <c r="V70" s="45" t="n"/>
      <c r="W70" s="45" t="n"/>
      <c r="X70" s="45" t="n"/>
      <c r="Y70" s="46">
        <f>IFERROR(X70/W70,"")</f>
        <v/>
      </c>
      <c r="Z70" s="47" t="n"/>
      <c r="AA70" s="47" t="n"/>
      <c r="AB70" s="48">
        <f>IFERROR(AA70-Z70,"")</f>
        <v/>
      </c>
      <c r="AC70" s="44" t="n"/>
      <c r="AD70" s="44" t="n"/>
      <c r="AE70" s="44" t="n"/>
    </row>
    <row r="71" ht="15" customHeight="1" s="26">
      <c r="A71" s="43" t="n">
        <v>68</v>
      </c>
      <c r="B71" s="44" t="n"/>
      <c r="C71" s="44" t="n"/>
      <c r="D71" s="44" t="n"/>
      <c r="E71" s="44" t="n"/>
      <c r="F71" s="44" t="n"/>
      <c r="G71" s="45" t="n"/>
      <c r="H71" s="45" t="n"/>
      <c r="I71" s="46">
        <f>IFERROR(H71/G71,"")</f>
        <v/>
      </c>
      <c r="J71" s="45" t="n"/>
      <c r="K71" s="45" t="n"/>
      <c r="L71" s="45" t="n"/>
      <c r="M71" s="45" t="n"/>
      <c r="N71" s="45" t="n"/>
      <c r="O71" s="45" t="n"/>
      <c r="P71" s="45" t="n"/>
      <c r="Q71" s="45" t="n"/>
      <c r="R71" s="45" t="n"/>
      <c r="S71" s="46">
        <f>IFERROR(R71/Q71,"")</f>
        <v/>
      </c>
      <c r="T71" s="45" t="n"/>
      <c r="U71" s="45" t="n"/>
      <c r="V71" s="45" t="n"/>
      <c r="W71" s="45" t="n"/>
      <c r="X71" s="45" t="n"/>
      <c r="Y71" s="46">
        <f>IFERROR(X71/W71,"")</f>
        <v/>
      </c>
      <c r="Z71" s="47" t="n"/>
      <c r="AA71" s="47" t="n"/>
      <c r="AB71" s="48">
        <f>IFERROR(AA71-Z71,"")</f>
        <v/>
      </c>
      <c r="AC71" s="44" t="n"/>
      <c r="AD71" s="44" t="n"/>
      <c r="AE71" s="44" t="n"/>
    </row>
    <row r="72" ht="15" customHeight="1" s="26">
      <c r="A72" s="43" t="n">
        <v>69</v>
      </c>
      <c r="B72" s="44" t="n"/>
      <c r="C72" s="44" t="n"/>
      <c r="D72" s="44" t="n"/>
      <c r="E72" s="44" t="n"/>
      <c r="F72" s="44" t="n"/>
      <c r="G72" s="45" t="n"/>
      <c r="H72" s="45" t="n"/>
      <c r="I72" s="46">
        <f>IFERROR(H72/G72,"")</f>
        <v/>
      </c>
      <c r="J72" s="45" t="n"/>
      <c r="K72" s="45" t="n"/>
      <c r="L72" s="45" t="n"/>
      <c r="M72" s="45" t="n"/>
      <c r="N72" s="45" t="n"/>
      <c r="O72" s="45" t="n"/>
      <c r="P72" s="45" t="n"/>
      <c r="Q72" s="45" t="n"/>
      <c r="R72" s="45" t="n"/>
      <c r="S72" s="46">
        <f>IFERROR(R72/Q72,"")</f>
        <v/>
      </c>
      <c r="T72" s="45" t="n"/>
      <c r="U72" s="45" t="n"/>
      <c r="V72" s="45" t="n"/>
      <c r="W72" s="45" t="n"/>
      <c r="X72" s="45" t="n"/>
      <c r="Y72" s="46">
        <f>IFERROR(X72/W72,"")</f>
        <v/>
      </c>
      <c r="Z72" s="47" t="n"/>
      <c r="AA72" s="47" t="n"/>
      <c r="AB72" s="48">
        <f>IFERROR(AA72-Z72,"")</f>
        <v/>
      </c>
      <c r="AC72" s="44" t="n"/>
      <c r="AD72" s="44" t="n"/>
      <c r="AE72" s="44" t="n"/>
    </row>
    <row r="73" ht="15" customHeight="1" s="26">
      <c r="A73" s="43" t="n">
        <v>70</v>
      </c>
      <c r="B73" s="44" t="n"/>
      <c r="C73" s="44" t="n"/>
      <c r="D73" s="44" t="n"/>
      <c r="E73" s="44" t="n"/>
      <c r="F73" s="44" t="n"/>
      <c r="G73" s="45" t="n"/>
      <c r="H73" s="45" t="n"/>
      <c r="I73" s="46">
        <f>IFERROR(H73/G73,"")</f>
        <v/>
      </c>
      <c r="J73" s="45" t="n"/>
      <c r="K73" s="45" t="n"/>
      <c r="L73" s="45" t="n"/>
      <c r="M73" s="45" t="n"/>
      <c r="N73" s="45" t="n"/>
      <c r="O73" s="45" t="n"/>
      <c r="P73" s="45" t="n"/>
      <c r="Q73" s="45" t="n"/>
      <c r="R73" s="45" t="n"/>
      <c r="S73" s="46">
        <f>IFERROR(R73/Q73,"")</f>
        <v/>
      </c>
      <c r="T73" s="45" t="n"/>
      <c r="U73" s="45" t="n"/>
      <c r="V73" s="45" t="n"/>
      <c r="W73" s="45" t="n"/>
      <c r="X73" s="45" t="n"/>
      <c r="Y73" s="46">
        <f>IFERROR(X73/W73,"")</f>
        <v/>
      </c>
      <c r="Z73" s="47" t="n"/>
      <c r="AA73" s="47" t="n"/>
      <c r="AB73" s="48">
        <f>IFERROR(AA73-Z73,"")</f>
        <v/>
      </c>
      <c r="AC73" s="44" t="n"/>
      <c r="AD73" s="44" t="n"/>
      <c r="AE73" s="44" t="n"/>
    </row>
    <row r="74" ht="15" customHeight="1" s="26">
      <c r="A74" s="43" t="n">
        <v>71</v>
      </c>
      <c r="B74" s="44" t="n"/>
      <c r="C74" s="44" t="n"/>
      <c r="D74" s="44" t="n"/>
      <c r="E74" s="44" t="n"/>
      <c r="F74" s="44" t="n"/>
      <c r="G74" s="45" t="n"/>
      <c r="H74" s="45" t="n"/>
      <c r="I74" s="46">
        <f>IFERROR(H74/G74,"")</f>
        <v/>
      </c>
      <c r="J74" s="45" t="n"/>
      <c r="K74" s="45" t="n"/>
      <c r="L74" s="45" t="n"/>
      <c r="M74" s="45" t="n"/>
      <c r="N74" s="45" t="n"/>
      <c r="O74" s="45" t="n"/>
      <c r="P74" s="45" t="n"/>
      <c r="Q74" s="45" t="n"/>
      <c r="R74" s="45" t="n"/>
      <c r="S74" s="46">
        <f>IFERROR(R74/Q74,"")</f>
        <v/>
      </c>
      <c r="T74" s="45" t="n"/>
      <c r="U74" s="45" t="n"/>
      <c r="V74" s="45" t="n"/>
      <c r="W74" s="45" t="n"/>
      <c r="X74" s="45" t="n"/>
      <c r="Y74" s="46">
        <f>IFERROR(X74/W74,"")</f>
        <v/>
      </c>
      <c r="Z74" s="47" t="n"/>
      <c r="AA74" s="47" t="n"/>
      <c r="AB74" s="48">
        <f>IFERROR(AA74-Z74,"")</f>
        <v/>
      </c>
      <c r="AC74" s="44" t="n"/>
      <c r="AD74" s="44" t="n"/>
      <c r="AE74" s="44" t="n"/>
    </row>
    <row r="75" ht="15" customHeight="1" s="26">
      <c r="A75" s="43" t="n">
        <v>72</v>
      </c>
      <c r="B75" s="44" t="n"/>
      <c r="C75" s="44" t="n"/>
      <c r="D75" s="44" t="n"/>
      <c r="E75" s="44" t="n"/>
      <c r="F75" s="44" t="n"/>
      <c r="G75" s="45" t="n"/>
      <c r="H75" s="45" t="n"/>
      <c r="I75" s="46">
        <f>IFERROR(H75/G75,"")</f>
        <v/>
      </c>
      <c r="J75" s="45" t="n"/>
      <c r="K75" s="45" t="n"/>
      <c r="L75" s="45" t="n"/>
      <c r="M75" s="45" t="n"/>
      <c r="N75" s="45" t="n"/>
      <c r="O75" s="45" t="n"/>
      <c r="P75" s="45" t="n"/>
      <c r="Q75" s="45" t="n"/>
      <c r="R75" s="45" t="n"/>
      <c r="S75" s="46">
        <f>IFERROR(R75/Q75,"")</f>
        <v/>
      </c>
      <c r="T75" s="45" t="n"/>
      <c r="U75" s="45" t="n"/>
      <c r="V75" s="45" t="n"/>
      <c r="W75" s="45" t="n"/>
      <c r="X75" s="45" t="n"/>
      <c r="Y75" s="46">
        <f>IFERROR(X75/W75,"")</f>
        <v/>
      </c>
      <c r="Z75" s="47" t="n"/>
      <c r="AA75" s="47" t="n"/>
      <c r="AB75" s="48">
        <f>IFERROR(AA75-Z75,"")</f>
        <v/>
      </c>
      <c r="AC75" s="44" t="n"/>
      <c r="AD75" s="44" t="n"/>
      <c r="AE75" s="44" t="n"/>
    </row>
    <row r="76" ht="15" customHeight="1" s="26">
      <c r="A76" s="43" t="n">
        <v>73</v>
      </c>
      <c r="B76" s="44" t="n"/>
      <c r="C76" s="44" t="n"/>
      <c r="D76" s="44" t="n"/>
      <c r="E76" s="44" t="n"/>
      <c r="F76" s="44" t="n"/>
      <c r="G76" s="45" t="n"/>
      <c r="H76" s="45" t="n"/>
      <c r="I76" s="46">
        <f>IFERROR(H76/G76,"")</f>
        <v/>
      </c>
      <c r="J76" s="45" t="n"/>
      <c r="K76" s="45" t="n"/>
      <c r="L76" s="45" t="n"/>
      <c r="M76" s="45" t="n"/>
      <c r="N76" s="45" t="n"/>
      <c r="O76" s="45" t="n"/>
      <c r="P76" s="45" t="n"/>
      <c r="Q76" s="45" t="n"/>
      <c r="R76" s="45" t="n"/>
      <c r="S76" s="46">
        <f>IFERROR(R76/Q76,"")</f>
        <v/>
      </c>
      <c r="T76" s="45" t="n"/>
      <c r="U76" s="45" t="n"/>
      <c r="V76" s="45" t="n"/>
      <c r="W76" s="45" t="n"/>
      <c r="X76" s="45" t="n"/>
      <c r="Y76" s="46">
        <f>IFERROR(X76/W76,"")</f>
        <v/>
      </c>
      <c r="Z76" s="47" t="n"/>
      <c r="AA76" s="47" t="n"/>
      <c r="AB76" s="48">
        <f>IFERROR(AA76-Z76,"")</f>
        <v/>
      </c>
      <c r="AC76" s="44" t="n"/>
      <c r="AD76" s="44" t="n"/>
      <c r="AE76" s="44" t="n"/>
    </row>
    <row r="77" ht="15" customHeight="1" s="26">
      <c r="A77" s="43" t="n">
        <v>74</v>
      </c>
      <c r="B77" s="44" t="n"/>
      <c r="C77" s="44" t="n"/>
      <c r="D77" s="44" t="n"/>
      <c r="E77" s="44" t="n"/>
      <c r="F77" s="44" t="n"/>
      <c r="G77" s="45" t="n"/>
      <c r="H77" s="45" t="n"/>
      <c r="I77" s="46">
        <f>IFERROR(H77/G77,"")</f>
        <v/>
      </c>
      <c r="J77" s="45" t="n"/>
      <c r="K77" s="45" t="n"/>
      <c r="L77" s="45" t="n"/>
      <c r="M77" s="45" t="n"/>
      <c r="N77" s="45" t="n"/>
      <c r="O77" s="45" t="n"/>
      <c r="P77" s="45" t="n"/>
      <c r="Q77" s="45" t="n"/>
      <c r="R77" s="45" t="n"/>
      <c r="S77" s="46">
        <f>IFERROR(R77/Q77,"")</f>
        <v/>
      </c>
      <c r="T77" s="45" t="n"/>
      <c r="U77" s="45" t="n"/>
      <c r="V77" s="45" t="n"/>
      <c r="W77" s="45" t="n"/>
      <c r="X77" s="45" t="n"/>
      <c r="Y77" s="46">
        <f>IFERROR(X77/W77,"")</f>
        <v/>
      </c>
      <c r="Z77" s="47" t="n"/>
      <c r="AA77" s="47" t="n"/>
      <c r="AB77" s="48">
        <f>IFERROR(AA77-Z77,"")</f>
        <v/>
      </c>
      <c r="AC77" s="44" t="n"/>
      <c r="AD77" s="44" t="n"/>
      <c r="AE77" s="44" t="n"/>
    </row>
    <row r="78" ht="15" customHeight="1" s="26">
      <c r="A78" s="43" t="n">
        <v>75</v>
      </c>
      <c r="B78" s="44" t="n"/>
      <c r="C78" s="44" t="n"/>
      <c r="D78" s="44" t="n"/>
      <c r="E78" s="44" t="n"/>
      <c r="F78" s="44" t="n"/>
      <c r="G78" s="45" t="n"/>
      <c r="H78" s="45" t="n"/>
      <c r="I78" s="46">
        <f>IFERROR(H78/G78,"")</f>
        <v/>
      </c>
      <c r="J78" s="45" t="n"/>
      <c r="K78" s="45" t="n"/>
      <c r="L78" s="45" t="n"/>
      <c r="M78" s="45" t="n"/>
      <c r="N78" s="45" t="n"/>
      <c r="O78" s="45" t="n"/>
      <c r="P78" s="45" t="n"/>
      <c r="Q78" s="45" t="n"/>
      <c r="R78" s="45" t="n"/>
      <c r="S78" s="46">
        <f>IFERROR(R78/Q78,"")</f>
        <v/>
      </c>
      <c r="T78" s="45" t="n"/>
      <c r="U78" s="45" t="n"/>
      <c r="V78" s="45" t="n"/>
      <c r="W78" s="45" t="n"/>
      <c r="X78" s="45" t="n"/>
      <c r="Y78" s="46">
        <f>IFERROR(X78/W78,"")</f>
        <v/>
      </c>
      <c r="Z78" s="47" t="n"/>
      <c r="AA78" s="47" t="n"/>
      <c r="AB78" s="48">
        <f>IFERROR(AA78-Z78,"")</f>
        <v/>
      </c>
      <c r="AC78" s="44" t="n"/>
      <c r="AD78" s="44" t="n"/>
      <c r="AE78" s="44" t="n"/>
    </row>
    <row r="79" ht="15" customHeight="1" s="26">
      <c r="A79" s="43" t="n">
        <v>76</v>
      </c>
      <c r="B79" s="44" t="n"/>
      <c r="C79" s="44" t="n"/>
      <c r="D79" s="44" t="n"/>
      <c r="E79" s="44" t="n"/>
      <c r="F79" s="44" t="n"/>
      <c r="G79" s="45" t="n"/>
      <c r="H79" s="45" t="n"/>
      <c r="I79" s="46">
        <f>IFERROR(H79/G79,"")</f>
        <v/>
      </c>
      <c r="J79" s="45" t="n"/>
      <c r="K79" s="45" t="n"/>
      <c r="L79" s="45" t="n"/>
      <c r="M79" s="45" t="n"/>
      <c r="N79" s="45" t="n"/>
      <c r="O79" s="45" t="n"/>
      <c r="P79" s="45" t="n"/>
      <c r="Q79" s="45" t="n"/>
      <c r="R79" s="45" t="n"/>
      <c r="S79" s="46">
        <f>IFERROR(R79/Q79,"")</f>
        <v/>
      </c>
      <c r="T79" s="45" t="n"/>
      <c r="U79" s="45" t="n"/>
      <c r="V79" s="45" t="n"/>
      <c r="W79" s="45" t="n"/>
      <c r="X79" s="45" t="n"/>
      <c r="Y79" s="46">
        <f>IFERROR(X79/W79,"")</f>
        <v/>
      </c>
      <c r="Z79" s="47" t="n"/>
      <c r="AA79" s="47" t="n"/>
      <c r="AB79" s="48">
        <f>IFERROR(AA79-Z79,"")</f>
        <v/>
      </c>
      <c r="AC79" s="44" t="n"/>
      <c r="AD79" s="44" t="n"/>
      <c r="AE79" s="44" t="n"/>
    </row>
    <row r="80" ht="15" customHeight="1" s="26">
      <c r="A80" s="43" t="n">
        <v>77</v>
      </c>
      <c r="B80" s="44" t="n"/>
      <c r="C80" s="44" t="n"/>
      <c r="D80" s="44" t="n"/>
      <c r="E80" s="44" t="n"/>
      <c r="F80" s="44" t="n"/>
      <c r="G80" s="45" t="n"/>
      <c r="H80" s="45" t="n"/>
      <c r="I80" s="46">
        <f>IFERROR(H80/G80,"")</f>
        <v/>
      </c>
      <c r="J80" s="45" t="n"/>
      <c r="K80" s="45" t="n"/>
      <c r="L80" s="45" t="n"/>
      <c r="M80" s="45" t="n"/>
      <c r="N80" s="45" t="n"/>
      <c r="O80" s="45" t="n"/>
      <c r="P80" s="45" t="n"/>
      <c r="Q80" s="45" t="n"/>
      <c r="R80" s="45" t="n"/>
      <c r="S80" s="46">
        <f>IFERROR(R80/Q80,"")</f>
        <v/>
      </c>
      <c r="T80" s="45" t="n"/>
      <c r="U80" s="45" t="n"/>
      <c r="V80" s="45" t="n"/>
      <c r="W80" s="45" t="n"/>
      <c r="X80" s="45" t="n"/>
      <c r="Y80" s="46">
        <f>IFERROR(X80/W80,"")</f>
        <v/>
      </c>
      <c r="Z80" s="47" t="n"/>
      <c r="AA80" s="47" t="n"/>
      <c r="AB80" s="48">
        <f>IFERROR(AA80-Z80,"")</f>
        <v/>
      </c>
      <c r="AC80" s="44" t="n"/>
      <c r="AD80" s="44" t="n"/>
      <c r="AE80" s="44" t="n"/>
    </row>
    <row r="81" ht="15" customHeight="1" s="26">
      <c r="A81" s="43" t="n">
        <v>78</v>
      </c>
      <c r="B81" s="44" t="n"/>
      <c r="C81" s="44" t="n"/>
      <c r="D81" s="44" t="n"/>
      <c r="E81" s="44" t="n"/>
      <c r="F81" s="44" t="n"/>
      <c r="G81" s="45" t="n"/>
      <c r="H81" s="45" t="n"/>
      <c r="I81" s="46">
        <f>IFERROR(H81/G81,"")</f>
        <v/>
      </c>
      <c r="J81" s="45" t="n"/>
      <c r="K81" s="45" t="n"/>
      <c r="L81" s="45" t="n"/>
      <c r="M81" s="45" t="n"/>
      <c r="N81" s="45" t="n"/>
      <c r="O81" s="45" t="n"/>
      <c r="P81" s="45" t="n"/>
      <c r="Q81" s="45" t="n"/>
      <c r="R81" s="45" t="n"/>
      <c r="S81" s="46">
        <f>IFERROR(R81/Q81,"")</f>
        <v/>
      </c>
      <c r="T81" s="45" t="n"/>
      <c r="U81" s="45" t="n"/>
      <c r="V81" s="45" t="n"/>
      <c r="W81" s="45" t="n"/>
      <c r="X81" s="45" t="n"/>
      <c r="Y81" s="46">
        <f>IFERROR(X81/W81,"")</f>
        <v/>
      </c>
      <c r="Z81" s="47" t="n"/>
      <c r="AA81" s="47" t="n"/>
      <c r="AB81" s="48">
        <f>IFERROR(AA81-Z81,"")</f>
        <v/>
      </c>
      <c r="AC81" s="44" t="n"/>
      <c r="AD81" s="44" t="n"/>
      <c r="AE81" s="44" t="n"/>
    </row>
    <row r="82" ht="15" customHeight="1" s="26">
      <c r="A82" s="43" t="n">
        <v>79</v>
      </c>
      <c r="B82" s="44" t="n"/>
      <c r="C82" s="44" t="n"/>
      <c r="D82" s="44" t="n"/>
      <c r="E82" s="44" t="n"/>
      <c r="F82" s="44" t="n"/>
      <c r="G82" s="45" t="n"/>
      <c r="H82" s="45" t="n"/>
      <c r="I82" s="46">
        <f>IFERROR(H82/G82,"")</f>
        <v/>
      </c>
      <c r="J82" s="45" t="n"/>
      <c r="K82" s="45" t="n"/>
      <c r="L82" s="45" t="n"/>
      <c r="M82" s="45" t="n"/>
      <c r="N82" s="45" t="n"/>
      <c r="O82" s="45" t="n"/>
      <c r="P82" s="45" t="n"/>
      <c r="Q82" s="45" t="n"/>
      <c r="R82" s="45" t="n"/>
      <c r="S82" s="46">
        <f>IFERROR(R82/Q82,"")</f>
        <v/>
      </c>
      <c r="T82" s="45" t="n"/>
      <c r="U82" s="45" t="n"/>
      <c r="V82" s="45" t="n"/>
      <c r="W82" s="45" t="n"/>
      <c r="X82" s="45" t="n"/>
      <c r="Y82" s="46">
        <f>IFERROR(X82/W82,"")</f>
        <v/>
      </c>
      <c r="Z82" s="47" t="n"/>
      <c r="AA82" s="47" t="n"/>
      <c r="AB82" s="48">
        <f>IFERROR(AA82-Z82,"")</f>
        <v/>
      </c>
      <c r="AC82" s="44" t="n"/>
      <c r="AD82" s="44" t="n"/>
      <c r="AE82" s="44" t="n"/>
    </row>
    <row r="83" ht="15" customHeight="1" s="26">
      <c r="A83" s="43" t="n">
        <v>80</v>
      </c>
      <c r="B83" s="44" t="n"/>
      <c r="C83" s="44" t="n"/>
      <c r="D83" s="44" t="n"/>
      <c r="E83" s="44" t="n"/>
      <c r="F83" s="44" t="n"/>
      <c r="G83" s="45" t="n"/>
      <c r="H83" s="45" t="n"/>
      <c r="I83" s="46">
        <f>IFERROR(H83/G83,"")</f>
        <v/>
      </c>
      <c r="J83" s="45" t="n"/>
      <c r="K83" s="45" t="n"/>
      <c r="L83" s="45" t="n"/>
      <c r="M83" s="45" t="n"/>
      <c r="N83" s="45" t="n"/>
      <c r="O83" s="45" t="n"/>
      <c r="P83" s="45" t="n"/>
      <c r="Q83" s="45" t="n"/>
      <c r="R83" s="45" t="n"/>
      <c r="S83" s="46">
        <f>IFERROR(R83/Q83,"")</f>
        <v/>
      </c>
      <c r="T83" s="45" t="n"/>
      <c r="U83" s="45" t="n"/>
      <c r="V83" s="45" t="n"/>
      <c r="W83" s="45" t="n"/>
      <c r="X83" s="45" t="n"/>
      <c r="Y83" s="46">
        <f>IFERROR(X83/W83,"")</f>
        <v/>
      </c>
      <c r="Z83" s="47" t="n"/>
      <c r="AA83" s="47" t="n"/>
      <c r="AB83" s="48">
        <f>IFERROR(AA83-Z83,"")</f>
        <v/>
      </c>
      <c r="AC83" s="44" t="n"/>
      <c r="AD83" s="44" t="n"/>
      <c r="AE83" s="44" t="n"/>
    </row>
    <row r="84" ht="15" customHeight="1" s="26">
      <c r="A84" s="43" t="n">
        <v>81</v>
      </c>
      <c r="B84" s="44" t="n"/>
      <c r="C84" s="44" t="n"/>
      <c r="D84" s="44" t="n"/>
      <c r="E84" s="44" t="n"/>
      <c r="F84" s="44" t="n"/>
      <c r="G84" s="45" t="n"/>
      <c r="H84" s="45" t="n"/>
      <c r="I84" s="46">
        <f>IFERROR(H84/G84,"")</f>
        <v/>
      </c>
      <c r="J84" s="45" t="n"/>
      <c r="K84" s="45" t="n"/>
      <c r="L84" s="45" t="n"/>
      <c r="M84" s="45" t="n"/>
      <c r="N84" s="45" t="n"/>
      <c r="O84" s="45" t="n"/>
      <c r="P84" s="45" t="n"/>
      <c r="Q84" s="45" t="n"/>
      <c r="R84" s="45" t="n"/>
      <c r="S84" s="46">
        <f>IFERROR(R84/Q84,"")</f>
        <v/>
      </c>
      <c r="T84" s="45" t="n"/>
      <c r="U84" s="45" t="n"/>
      <c r="V84" s="45" t="n"/>
      <c r="W84" s="45" t="n"/>
      <c r="X84" s="45" t="n"/>
      <c r="Y84" s="46">
        <f>IFERROR(X84/W84,"")</f>
        <v/>
      </c>
      <c r="Z84" s="47" t="n"/>
      <c r="AA84" s="47" t="n"/>
      <c r="AB84" s="48">
        <f>IFERROR(AA84-Z84,"")</f>
        <v/>
      </c>
      <c r="AC84" s="44" t="n"/>
      <c r="AD84" s="44" t="n"/>
      <c r="AE84" s="44" t="n"/>
    </row>
    <row r="85" ht="15" customHeight="1" s="26">
      <c r="A85" s="43" t="n">
        <v>82</v>
      </c>
      <c r="B85" s="44" t="n"/>
      <c r="C85" s="44" t="n"/>
      <c r="D85" s="44" t="n"/>
      <c r="E85" s="44" t="n"/>
      <c r="F85" s="44" t="n"/>
      <c r="G85" s="45" t="n"/>
      <c r="H85" s="45" t="n"/>
      <c r="I85" s="46">
        <f>IFERROR(H85/G85,"")</f>
        <v/>
      </c>
      <c r="J85" s="45" t="n"/>
      <c r="K85" s="45" t="n"/>
      <c r="L85" s="45" t="n"/>
      <c r="M85" s="45" t="n"/>
      <c r="N85" s="45" t="n"/>
      <c r="O85" s="45" t="n"/>
      <c r="P85" s="45" t="n"/>
      <c r="Q85" s="45" t="n"/>
      <c r="R85" s="45" t="n"/>
      <c r="S85" s="46">
        <f>IFERROR(R85/Q85,"")</f>
        <v/>
      </c>
      <c r="T85" s="45" t="n"/>
      <c r="U85" s="45" t="n"/>
      <c r="V85" s="45" t="n"/>
      <c r="W85" s="45" t="n"/>
      <c r="X85" s="45" t="n"/>
      <c r="Y85" s="46">
        <f>IFERROR(X85/W85,"")</f>
        <v/>
      </c>
      <c r="Z85" s="47" t="n"/>
      <c r="AA85" s="47" t="n"/>
      <c r="AB85" s="48">
        <f>IFERROR(AA85-Z85,"")</f>
        <v/>
      </c>
      <c r="AC85" s="44" t="n"/>
      <c r="AD85" s="44" t="n"/>
      <c r="AE85" s="44" t="n"/>
    </row>
    <row r="86" ht="15" customHeight="1" s="26">
      <c r="A86" s="43" t="n">
        <v>83</v>
      </c>
      <c r="B86" s="44" t="n"/>
      <c r="C86" s="44" t="n"/>
      <c r="D86" s="44" t="n"/>
      <c r="E86" s="44" t="n"/>
      <c r="F86" s="44" t="n"/>
      <c r="G86" s="45" t="n"/>
      <c r="H86" s="45" t="n"/>
      <c r="I86" s="46">
        <f>IFERROR(H86/G86,"")</f>
        <v/>
      </c>
      <c r="J86" s="45" t="n"/>
      <c r="K86" s="45" t="n"/>
      <c r="L86" s="45" t="n"/>
      <c r="M86" s="45" t="n"/>
      <c r="N86" s="45" t="n"/>
      <c r="O86" s="45" t="n"/>
      <c r="P86" s="45" t="n"/>
      <c r="Q86" s="45" t="n"/>
      <c r="R86" s="45" t="n"/>
      <c r="S86" s="46">
        <f>IFERROR(R86/Q86,"")</f>
        <v/>
      </c>
      <c r="T86" s="45" t="n"/>
      <c r="U86" s="45" t="n"/>
      <c r="V86" s="45" t="n"/>
      <c r="W86" s="45" t="n"/>
      <c r="X86" s="45" t="n"/>
      <c r="Y86" s="46">
        <f>IFERROR(X86/W86,"")</f>
        <v/>
      </c>
      <c r="Z86" s="47" t="n"/>
      <c r="AA86" s="47" t="n"/>
      <c r="AB86" s="48">
        <f>IFERROR(AA86-Z86,"")</f>
        <v/>
      </c>
      <c r="AC86" s="44" t="n"/>
      <c r="AD86" s="44" t="n"/>
      <c r="AE86" s="44" t="n"/>
    </row>
    <row r="87" ht="15" customHeight="1" s="26">
      <c r="A87" s="43" t="n">
        <v>84</v>
      </c>
      <c r="B87" s="44" t="n"/>
      <c r="C87" s="44" t="n"/>
      <c r="D87" s="44" t="n"/>
      <c r="E87" s="44" t="n"/>
      <c r="F87" s="44" t="n"/>
      <c r="G87" s="45" t="n"/>
      <c r="H87" s="45" t="n"/>
      <c r="I87" s="46">
        <f>IFERROR(H87/G87,"")</f>
        <v/>
      </c>
      <c r="J87" s="45" t="n"/>
      <c r="K87" s="45" t="n"/>
      <c r="L87" s="45" t="n"/>
      <c r="M87" s="45" t="n"/>
      <c r="N87" s="45" t="n"/>
      <c r="O87" s="45" t="n"/>
      <c r="P87" s="45" t="n"/>
      <c r="Q87" s="45" t="n"/>
      <c r="R87" s="45" t="n"/>
      <c r="S87" s="46">
        <f>IFERROR(R87/Q87,"")</f>
        <v/>
      </c>
      <c r="T87" s="45" t="n"/>
      <c r="U87" s="45" t="n"/>
      <c r="V87" s="45" t="n"/>
      <c r="W87" s="45" t="n"/>
      <c r="X87" s="45" t="n"/>
      <c r="Y87" s="46">
        <f>IFERROR(X87/W87,"")</f>
        <v/>
      </c>
      <c r="Z87" s="47" t="n"/>
      <c r="AA87" s="47" t="n"/>
      <c r="AB87" s="48">
        <f>IFERROR(AA87-Z87,"")</f>
        <v/>
      </c>
      <c r="AC87" s="44" t="n"/>
      <c r="AD87" s="44" t="n"/>
      <c r="AE87" s="44" t="n"/>
    </row>
    <row r="88" ht="15" customHeight="1" s="26">
      <c r="A88" s="43" t="n">
        <v>85</v>
      </c>
      <c r="B88" s="44" t="n"/>
      <c r="C88" s="44" t="n"/>
      <c r="D88" s="44" t="n"/>
      <c r="E88" s="44" t="n"/>
      <c r="F88" s="44" t="n"/>
      <c r="G88" s="45" t="n"/>
      <c r="H88" s="45" t="n"/>
      <c r="I88" s="46">
        <f>IFERROR(H88/G88,"")</f>
        <v/>
      </c>
      <c r="J88" s="45" t="n"/>
      <c r="K88" s="45" t="n"/>
      <c r="L88" s="45" t="n"/>
      <c r="M88" s="45" t="n"/>
      <c r="N88" s="45" t="n"/>
      <c r="O88" s="45" t="n"/>
      <c r="P88" s="45" t="n"/>
      <c r="Q88" s="45" t="n"/>
      <c r="R88" s="45" t="n"/>
      <c r="S88" s="46">
        <f>IFERROR(R88/Q88,"")</f>
        <v/>
      </c>
      <c r="T88" s="45" t="n"/>
      <c r="U88" s="45" t="n"/>
      <c r="V88" s="45" t="n"/>
      <c r="W88" s="45" t="n"/>
      <c r="X88" s="45" t="n"/>
      <c r="Y88" s="46">
        <f>IFERROR(X88/W88,"")</f>
        <v/>
      </c>
      <c r="Z88" s="47" t="n"/>
      <c r="AA88" s="47" t="n"/>
      <c r="AB88" s="48">
        <f>IFERROR(AA88-Z88,"")</f>
        <v/>
      </c>
      <c r="AC88" s="44" t="n"/>
      <c r="AD88" s="44" t="n"/>
      <c r="AE88" s="44" t="n"/>
    </row>
    <row r="89" ht="15" customHeight="1" s="26">
      <c r="A89" s="43" t="n">
        <v>86</v>
      </c>
      <c r="B89" s="44" t="n"/>
      <c r="C89" s="44" t="n"/>
      <c r="D89" s="44" t="n"/>
      <c r="E89" s="44" t="n"/>
      <c r="F89" s="44" t="n"/>
      <c r="G89" s="45" t="n"/>
      <c r="H89" s="45" t="n"/>
      <c r="I89" s="46">
        <f>IFERROR(H89/G89,"")</f>
        <v/>
      </c>
      <c r="J89" s="45" t="n"/>
      <c r="K89" s="45" t="n"/>
      <c r="L89" s="45" t="n"/>
      <c r="M89" s="45" t="n"/>
      <c r="N89" s="45" t="n"/>
      <c r="O89" s="45" t="n"/>
      <c r="P89" s="45" t="n"/>
      <c r="Q89" s="45" t="n"/>
      <c r="R89" s="45" t="n"/>
      <c r="S89" s="46">
        <f>IFERROR(R89/Q89,"")</f>
        <v/>
      </c>
      <c r="T89" s="45" t="n"/>
      <c r="U89" s="45" t="n"/>
      <c r="V89" s="45" t="n"/>
      <c r="W89" s="45" t="n"/>
      <c r="X89" s="45" t="n"/>
      <c r="Y89" s="46">
        <f>IFERROR(X89/W89,"")</f>
        <v/>
      </c>
      <c r="Z89" s="47" t="n"/>
      <c r="AA89" s="47" t="n"/>
      <c r="AB89" s="48">
        <f>IFERROR(AA89-Z89,"")</f>
        <v/>
      </c>
      <c r="AC89" s="44" t="n"/>
      <c r="AD89" s="44" t="n"/>
      <c r="AE89" s="44" t="n"/>
    </row>
    <row r="90" ht="15" customHeight="1" s="26">
      <c r="A90" s="43" t="n">
        <v>87</v>
      </c>
      <c r="B90" s="44" t="n"/>
      <c r="C90" s="44" t="n"/>
      <c r="D90" s="44" t="n"/>
      <c r="E90" s="44" t="n"/>
      <c r="F90" s="44" t="n"/>
      <c r="G90" s="45" t="n"/>
      <c r="H90" s="45" t="n"/>
      <c r="I90" s="46">
        <f>IFERROR(H90/G90,"")</f>
        <v/>
      </c>
      <c r="J90" s="45" t="n"/>
      <c r="K90" s="45" t="n"/>
      <c r="L90" s="45" t="n"/>
      <c r="M90" s="45" t="n"/>
      <c r="N90" s="45" t="n"/>
      <c r="O90" s="45" t="n"/>
      <c r="P90" s="45" t="n"/>
      <c r="Q90" s="45" t="n"/>
      <c r="R90" s="45" t="n"/>
      <c r="S90" s="46">
        <f>IFERROR(R90/Q90,"")</f>
        <v/>
      </c>
      <c r="T90" s="45" t="n"/>
      <c r="U90" s="45" t="n"/>
      <c r="V90" s="45" t="n"/>
      <c r="W90" s="45" t="n"/>
      <c r="X90" s="45" t="n"/>
      <c r="Y90" s="46">
        <f>IFERROR(X90/W90,"")</f>
        <v/>
      </c>
      <c r="Z90" s="47" t="n"/>
      <c r="AA90" s="47" t="n"/>
      <c r="AB90" s="48">
        <f>IFERROR(AA90-Z90,"")</f>
        <v/>
      </c>
      <c r="AC90" s="44" t="n"/>
      <c r="AD90" s="44" t="n"/>
      <c r="AE90" s="44" t="n"/>
    </row>
    <row r="91" ht="15" customHeight="1" s="26">
      <c r="A91" s="43" t="n">
        <v>88</v>
      </c>
      <c r="B91" s="44" t="n"/>
      <c r="C91" s="44" t="n"/>
      <c r="D91" s="44" t="n"/>
      <c r="E91" s="44" t="n"/>
      <c r="F91" s="44" t="n"/>
      <c r="G91" s="45" t="n"/>
      <c r="H91" s="45" t="n"/>
      <c r="I91" s="46">
        <f>IFERROR(H91/G91,"")</f>
        <v/>
      </c>
      <c r="J91" s="45" t="n"/>
      <c r="K91" s="45" t="n"/>
      <c r="L91" s="45" t="n"/>
      <c r="M91" s="45" t="n"/>
      <c r="N91" s="45" t="n"/>
      <c r="O91" s="45" t="n"/>
      <c r="P91" s="45" t="n"/>
      <c r="Q91" s="45" t="n"/>
      <c r="R91" s="45" t="n"/>
      <c r="S91" s="46">
        <f>IFERROR(R91/Q91,"")</f>
        <v/>
      </c>
      <c r="T91" s="45" t="n"/>
      <c r="U91" s="45" t="n"/>
      <c r="V91" s="45" t="n"/>
      <c r="W91" s="45" t="n"/>
      <c r="X91" s="45" t="n"/>
      <c r="Y91" s="46">
        <f>IFERROR(X91/W91,"")</f>
        <v/>
      </c>
      <c r="Z91" s="47" t="n"/>
      <c r="AA91" s="47" t="n"/>
      <c r="AB91" s="48">
        <f>IFERROR(AA91-Z91,"")</f>
        <v/>
      </c>
      <c r="AC91" s="44" t="n"/>
      <c r="AD91" s="44" t="n"/>
      <c r="AE91" s="44" t="n"/>
    </row>
    <row r="92" ht="15" customHeight="1" s="26">
      <c r="A92" s="43" t="n">
        <v>89</v>
      </c>
      <c r="B92" s="44" t="n"/>
      <c r="C92" s="44" t="n"/>
      <c r="D92" s="44" t="n"/>
      <c r="E92" s="44" t="n"/>
      <c r="F92" s="44" t="n"/>
      <c r="G92" s="45" t="n"/>
      <c r="H92" s="45" t="n"/>
      <c r="I92" s="46">
        <f>IFERROR(H92/G92,"")</f>
        <v/>
      </c>
      <c r="J92" s="45" t="n"/>
      <c r="K92" s="45" t="n"/>
      <c r="L92" s="45" t="n"/>
      <c r="M92" s="45" t="n"/>
      <c r="N92" s="45" t="n"/>
      <c r="O92" s="45" t="n"/>
      <c r="P92" s="45" t="n"/>
      <c r="Q92" s="45" t="n"/>
      <c r="R92" s="45" t="n"/>
      <c r="S92" s="46">
        <f>IFERROR(R92/Q92,"")</f>
        <v/>
      </c>
      <c r="T92" s="45" t="n"/>
      <c r="U92" s="45" t="n"/>
      <c r="V92" s="45" t="n"/>
      <c r="W92" s="45" t="n"/>
      <c r="X92" s="45" t="n"/>
      <c r="Y92" s="46">
        <f>IFERROR(X92/W92,"")</f>
        <v/>
      </c>
      <c r="Z92" s="47" t="n"/>
      <c r="AA92" s="47" t="n"/>
      <c r="AB92" s="48">
        <f>IFERROR(AA92-Z92,"")</f>
        <v/>
      </c>
      <c r="AC92" s="44" t="n"/>
      <c r="AD92" s="44" t="n"/>
      <c r="AE92" s="44" t="n"/>
    </row>
    <row r="93" ht="15" customHeight="1" s="26">
      <c r="A93" s="43" t="n">
        <v>90</v>
      </c>
      <c r="B93" s="44" t="n"/>
      <c r="C93" s="44" t="n"/>
      <c r="D93" s="44" t="n"/>
      <c r="E93" s="44" t="n"/>
      <c r="F93" s="44" t="n"/>
      <c r="G93" s="45" t="n"/>
      <c r="H93" s="45" t="n"/>
      <c r="I93" s="46">
        <f>IFERROR(H93/G93,"")</f>
        <v/>
      </c>
      <c r="J93" s="45" t="n"/>
      <c r="K93" s="45" t="n"/>
      <c r="L93" s="45" t="n"/>
      <c r="M93" s="45" t="n"/>
      <c r="N93" s="45" t="n"/>
      <c r="O93" s="45" t="n"/>
      <c r="P93" s="45" t="n"/>
      <c r="Q93" s="45" t="n"/>
      <c r="R93" s="45" t="n"/>
      <c r="S93" s="46">
        <f>IFERROR(R93/Q93,"")</f>
        <v/>
      </c>
      <c r="T93" s="45" t="n"/>
      <c r="U93" s="45" t="n"/>
      <c r="V93" s="45" t="n"/>
      <c r="W93" s="45" t="n"/>
      <c r="X93" s="45" t="n"/>
      <c r="Y93" s="46">
        <f>IFERROR(X93/W93,"")</f>
        <v/>
      </c>
      <c r="Z93" s="47" t="n"/>
      <c r="AA93" s="47" t="n"/>
      <c r="AB93" s="48">
        <f>IFERROR(AA93-Z93,"")</f>
        <v/>
      </c>
      <c r="AC93" s="44" t="n"/>
      <c r="AD93" s="44" t="n"/>
      <c r="AE93" s="44" t="n"/>
    </row>
    <row r="94" ht="15" customHeight="1" s="26">
      <c r="A94" s="43" t="n">
        <v>91</v>
      </c>
      <c r="B94" s="44" t="n"/>
      <c r="C94" s="44" t="n"/>
      <c r="D94" s="44" t="n"/>
      <c r="E94" s="44" t="n"/>
      <c r="F94" s="44" t="n"/>
      <c r="G94" s="45" t="n"/>
      <c r="H94" s="45" t="n"/>
      <c r="I94" s="46">
        <f>IFERROR(H94/G94,"")</f>
        <v/>
      </c>
      <c r="J94" s="45" t="n"/>
      <c r="K94" s="45" t="n"/>
      <c r="L94" s="45" t="n"/>
      <c r="M94" s="45" t="n"/>
      <c r="N94" s="45" t="n"/>
      <c r="O94" s="45" t="n"/>
      <c r="P94" s="45" t="n"/>
      <c r="Q94" s="45" t="n"/>
      <c r="R94" s="45" t="n"/>
      <c r="S94" s="46">
        <f>IFERROR(R94/Q94,"")</f>
        <v/>
      </c>
      <c r="T94" s="45" t="n"/>
      <c r="U94" s="45" t="n"/>
      <c r="V94" s="45" t="n"/>
      <c r="W94" s="45" t="n"/>
      <c r="X94" s="45" t="n"/>
      <c r="Y94" s="46">
        <f>IFERROR(X94/W94,"")</f>
        <v/>
      </c>
      <c r="Z94" s="47" t="n"/>
      <c r="AA94" s="47" t="n"/>
      <c r="AB94" s="48">
        <f>IFERROR(AA94-Z94,"")</f>
        <v/>
      </c>
      <c r="AC94" s="44" t="n"/>
      <c r="AD94" s="44" t="n"/>
      <c r="AE94" s="44" t="n"/>
    </row>
    <row r="95" ht="15" customHeight="1" s="26">
      <c r="A95" s="43" t="n">
        <v>92</v>
      </c>
      <c r="B95" s="44" t="n"/>
      <c r="C95" s="44" t="n"/>
      <c r="D95" s="44" t="n"/>
      <c r="E95" s="44" t="n"/>
      <c r="F95" s="44" t="n"/>
      <c r="G95" s="45" t="n"/>
      <c r="H95" s="45" t="n"/>
      <c r="I95" s="46">
        <f>IFERROR(H95/G95,"")</f>
        <v/>
      </c>
      <c r="J95" s="45" t="n"/>
      <c r="K95" s="45" t="n"/>
      <c r="L95" s="45" t="n"/>
      <c r="M95" s="45" t="n"/>
      <c r="N95" s="45" t="n"/>
      <c r="O95" s="45" t="n"/>
      <c r="P95" s="45" t="n"/>
      <c r="Q95" s="45" t="n"/>
      <c r="R95" s="45" t="n"/>
      <c r="S95" s="46">
        <f>IFERROR(R95/Q95,"")</f>
        <v/>
      </c>
      <c r="T95" s="45" t="n"/>
      <c r="U95" s="45" t="n"/>
      <c r="V95" s="45" t="n"/>
      <c r="W95" s="45" t="n"/>
      <c r="X95" s="45" t="n"/>
      <c r="Y95" s="46">
        <f>IFERROR(X95/W95,"")</f>
        <v/>
      </c>
      <c r="Z95" s="47" t="n"/>
      <c r="AA95" s="47" t="n"/>
      <c r="AB95" s="48">
        <f>IFERROR(AA95-Z95,"")</f>
        <v/>
      </c>
      <c r="AC95" s="44" t="n"/>
      <c r="AD95" s="44" t="n"/>
      <c r="AE95" s="44" t="n"/>
    </row>
    <row r="96" ht="15" customHeight="1" s="26">
      <c r="A96" s="43" t="n">
        <v>93</v>
      </c>
      <c r="B96" s="44" t="n"/>
      <c r="C96" s="44" t="n"/>
      <c r="D96" s="44" t="n"/>
      <c r="E96" s="44" t="n"/>
      <c r="F96" s="44" t="n"/>
      <c r="G96" s="45" t="n"/>
      <c r="H96" s="45" t="n"/>
      <c r="I96" s="46">
        <f>IFERROR(H96/G96,"")</f>
        <v/>
      </c>
      <c r="J96" s="45" t="n"/>
      <c r="K96" s="45" t="n"/>
      <c r="L96" s="45" t="n"/>
      <c r="M96" s="45" t="n"/>
      <c r="N96" s="45" t="n"/>
      <c r="O96" s="45" t="n"/>
      <c r="P96" s="45" t="n"/>
      <c r="Q96" s="45" t="n"/>
      <c r="R96" s="45" t="n"/>
      <c r="S96" s="46">
        <f>IFERROR(R96/Q96,"")</f>
        <v/>
      </c>
      <c r="T96" s="45" t="n"/>
      <c r="U96" s="45" t="n"/>
      <c r="V96" s="45" t="n"/>
      <c r="W96" s="45" t="n"/>
      <c r="X96" s="45" t="n"/>
      <c r="Y96" s="46">
        <f>IFERROR(X96/W96,"")</f>
        <v/>
      </c>
      <c r="Z96" s="47" t="n"/>
      <c r="AA96" s="47" t="n"/>
      <c r="AB96" s="48">
        <f>IFERROR(AA96-Z96,"")</f>
        <v/>
      </c>
      <c r="AC96" s="44" t="n"/>
      <c r="AD96" s="44" t="n"/>
      <c r="AE96" s="44" t="n"/>
    </row>
    <row r="97" ht="15" customHeight="1" s="26">
      <c r="A97" s="43" t="n">
        <v>94</v>
      </c>
      <c r="B97" s="44" t="n"/>
      <c r="C97" s="44" t="n"/>
      <c r="D97" s="44" t="n"/>
      <c r="E97" s="44" t="n"/>
      <c r="F97" s="44" t="n"/>
      <c r="G97" s="45" t="n"/>
      <c r="H97" s="45" t="n"/>
      <c r="I97" s="46">
        <f>IFERROR(H97/G97,"")</f>
        <v/>
      </c>
      <c r="J97" s="45" t="n"/>
      <c r="K97" s="45" t="n"/>
      <c r="L97" s="45" t="n"/>
      <c r="M97" s="45" t="n"/>
      <c r="N97" s="45" t="n"/>
      <c r="O97" s="45" t="n"/>
      <c r="P97" s="45" t="n"/>
      <c r="Q97" s="45" t="n"/>
      <c r="R97" s="45" t="n"/>
      <c r="S97" s="46">
        <f>IFERROR(R97/Q97,"")</f>
        <v/>
      </c>
      <c r="T97" s="45" t="n"/>
      <c r="U97" s="45" t="n"/>
      <c r="V97" s="45" t="n"/>
      <c r="W97" s="45" t="n"/>
      <c r="X97" s="45" t="n"/>
      <c r="Y97" s="46">
        <f>IFERROR(X97/W97,"")</f>
        <v/>
      </c>
      <c r="Z97" s="47" t="n"/>
      <c r="AA97" s="47" t="n"/>
      <c r="AB97" s="48">
        <f>IFERROR(AA97-Z97,"")</f>
        <v/>
      </c>
      <c r="AC97" s="44" t="n"/>
      <c r="AD97" s="44" t="n"/>
      <c r="AE97" s="44" t="n"/>
    </row>
    <row r="98" ht="15" customHeight="1" s="26">
      <c r="A98" s="43" t="n">
        <v>95</v>
      </c>
      <c r="B98" s="44" t="n"/>
      <c r="C98" s="44" t="n"/>
      <c r="D98" s="44" t="n"/>
      <c r="E98" s="44" t="n"/>
      <c r="F98" s="44" t="n"/>
      <c r="G98" s="45" t="n"/>
      <c r="H98" s="45" t="n"/>
      <c r="I98" s="46">
        <f>IFERROR(H98/G98,"")</f>
        <v/>
      </c>
      <c r="J98" s="45" t="n"/>
      <c r="K98" s="45" t="n"/>
      <c r="L98" s="45" t="n"/>
      <c r="M98" s="45" t="n"/>
      <c r="N98" s="45" t="n"/>
      <c r="O98" s="45" t="n"/>
      <c r="P98" s="45" t="n"/>
      <c r="Q98" s="45" t="n"/>
      <c r="R98" s="45" t="n"/>
      <c r="S98" s="46">
        <f>IFERROR(R98/Q98,"")</f>
        <v/>
      </c>
      <c r="T98" s="45" t="n"/>
      <c r="U98" s="45" t="n"/>
      <c r="V98" s="45" t="n"/>
      <c r="W98" s="45" t="n"/>
      <c r="X98" s="45" t="n"/>
      <c r="Y98" s="46">
        <f>IFERROR(X98/W98,"")</f>
        <v/>
      </c>
      <c r="Z98" s="47" t="n"/>
      <c r="AA98" s="47" t="n"/>
      <c r="AB98" s="48">
        <f>IFERROR(AA98-Z98,"")</f>
        <v/>
      </c>
      <c r="AC98" s="44" t="n"/>
      <c r="AD98" s="44" t="n"/>
      <c r="AE98" s="44" t="n"/>
    </row>
    <row r="99" ht="15" customHeight="1" s="26">
      <c r="A99" s="43" t="n">
        <v>96</v>
      </c>
      <c r="B99" s="44" t="n"/>
      <c r="C99" s="44" t="n"/>
      <c r="D99" s="44" t="n"/>
      <c r="E99" s="44" t="n"/>
      <c r="F99" s="44" t="n"/>
      <c r="G99" s="45" t="n"/>
      <c r="H99" s="45" t="n"/>
      <c r="I99" s="46">
        <f>IFERROR(H99/G99,"")</f>
        <v/>
      </c>
      <c r="J99" s="45" t="n"/>
      <c r="K99" s="45" t="n"/>
      <c r="L99" s="45" t="n"/>
      <c r="M99" s="45" t="n"/>
      <c r="N99" s="45" t="n"/>
      <c r="O99" s="45" t="n"/>
      <c r="P99" s="45" t="n"/>
      <c r="Q99" s="45" t="n"/>
      <c r="R99" s="45" t="n"/>
      <c r="S99" s="46">
        <f>IFERROR(R99/Q99,"")</f>
        <v/>
      </c>
      <c r="T99" s="45" t="n"/>
      <c r="U99" s="45" t="n"/>
      <c r="V99" s="45" t="n"/>
      <c r="W99" s="45" t="n"/>
      <c r="X99" s="45" t="n"/>
      <c r="Y99" s="46">
        <f>IFERROR(X99/W99,"")</f>
        <v/>
      </c>
      <c r="Z99" s="47" t="n"/>
      <c r="AA99" s="47" t="n"/>
      <c r="AB99" s="48">
        <f>IFERROR(AA99-Z99,"")</f>
        <v/>
      </c>
      <c r="AC99" s="44" t="n"/>
      <c r="AD99" s="44" t="n"/>
      <c r="AE99" s="44" t="n"/>
    </row>
    <row r="100" ht="15" customHeight="1" s="26">
      <c r="A100" s="43" t="n">
        <v>97</v>
      </c>
      <c r="B100" s="44" t="n"/>
      <c r="C100" s="44" t="n"/>
      <c r="D100" s="44" t="n"/>
      <c r="E100" s="44" t="n"/>
      <c r="F100" s="44" t="n"/>
      <c r="G100" s="45" t="n"/>
      <c r="H100" s="45" t="n"/>
      <c r="I100" s="46">
        <f>IFERROR(H100/G100,"")</f>
        <v/>
      </c>
      <c r="J100" s="45" t="n"/>
      <c r="K100" s="45" t="n"/>
      <c r="L100" s="45" t="n"/>
      <c r="M100" s="45" t="n"/>
      <c r="N100" s="45" t="n"/>
      <c r="O100" s="45" t="n"/>
      <c r="P100" s="45" t="n"/>
      <c r="Q100" s="45" t="n"/>
      <c r="R100" s="45" t="n"/>
      <c r="S100" s="46">
        <f>IFERROR(R100/Q100,"")</f>
        <v/>
      </c>
      <c r="T100" s="45" t="n"/>
      <c r="U100" s="45" t="n"/>
      <c r="V100" s="45" t="n"/>
      <c r="W100" s="45" t="n"/>
      <c r="X100" s="45" t="n"/>
      <c r="Y100" s="46">
        <f>IFERROR(X100/W100,"")</f>
        <v/>
      </c>
      <c r="Z100" s="47" t="n"/>
      <c r="AA100" s="47" t="n"/>
      <c r="AB100" s="48">
        <f>IFERROR(AA100-Z100,"")</f>
        <v/>
      </c>
      <c r="AC100" s="44" t="n"/>
      <c r="AD100" s="44" t="n"/>
      <c r="AE100" s="44" t="n"/>
    </row>
    <row r="101" ht="15" customHeight="1" s="26">
      <c r="A101" s="43" t="n">
        <v>98</v>
      </c>
      <c r="B101" s="44" t="n"/>
      <c r="C101" s="44" t="n"/>
      <c r="D101" s="44" t="n"/>
      <c r="E101" s="44" t="n"/>
      <c r="F101" s="44" t="n"/>
      <c r="G101" s="45" t="n"/>
      <c r="H101" s="45" t="n"/>
      <c r="I101" s="46">
        <f>IFERROR(H101/G101,"")</f>
        <v/>
      </c>
      <c r="J101" s="45" t="n"/>
      <c r="K101" s="45" t="n"/>
      <c r="L101" s="45" t="n"/>
      <c r="M101" s="45" t="n"/>
      <c r="N101" s="45" t="n"/>
      <c r="O101" s="45" t="n"/>
      <c r="P101" s="45" t="n"/>
      <c r="Q101" s="45" t="n"/>
      <c r="R101" s="45" t="n"/>
      <c r="S101" s="46">
        <f>IFERROR(R101/Q101,"")</f>
        <v/>
      </c>
      <c r="T101" s="45" t="n"/>
      <c r="U101" s="45" t="n"/>
      <c r="V101" s="45" t="n"/>
      <c r="W101" s="45" t="n"/>
      <c r="X101" s="45" t="n"/>
      <c r="Y101" s="46">
        <f>IFERROR(X101/W101,"")</f>
        <v/>
      </c>
      <c r="Z101" s="47" t="n"/>
      <c r="AA101" s="47" t="n"/>
      <c r="AB101" s="48">
        <f>IFERROR(AA101-Z101,"")</f>
        <v/>
      </c>
      <c r="AC101" s="44" t="n"/>
      <c r="AD101" s="44" t="n"/>
      <c r="AE101" s="44" t="n"/>
    </row>
    <row r="102" ht="15" customHeight="1" s="26">
      <c r="A102" s="43" t="n">
        <v>99</v>
      </c>
      <c r="B102" s="44" t="n"/>
      <c r="C102" s="44" t="n"/>
      <c r="D102" s="44" t="n"/>
      <c r="E102" s="44" t="n"/>
      <c r="F102" s="44" t="n"/>
      <c r="G102" s="45" t="n"/>
      <c r="H102" s="45" t="n"/>
      <c r="I102" s="46">
        <f>IFERROR(H102/G102,"")</f>
        <v/>
      </c>
      <c r="J102" s="45" t="n"/>
      <c r="K102" s="45" t="n"/>
      <c r="L102" s="45" t="n"/>
      <c r="M102" s="45" t="n"/>
      <c r="N102" s="45" t="n"/>
      <c r="O102" s="45" t="n"/>
      <c r="P102" s="45" t="n"/>
      <c r="Q102" s="45" t="n"/>
      <c r="R102" s="45" t="n"/>
      <c r="S102" s="46">
        <f>IFERROR(R102/Q102,"")</f>
        <v/>
      </c>
      <c r="T102" s="45" t="n"/>
      <c r="U102" s="45" t="n"/>
      <c r="V102" s="45" t="n"/>
      <c r="W102" s="45" t="n"/>
      <c r="X102" s="45" t="n"/>
      <c r="Y102" s="46">
        <f>IFERROR(X102/W102,"")</f>
        <v/>
      </c>
      <c r="Z102" s="47" t="n"/>
      <c r="AA102" s="47" t="n"/>
      <c r="AB102" s="48">
        <f>IFERROR(AA102-Z102,"")</f>
        <v/>
      </c>
      <c r="AC102" s="44" t="n"/>
      <c r="AD102" s="44" t="n"/>
      <c r="AE102" s="44" t="n"/>
    </row>
    <row r="103" ht="15" customHeight="1" s="26">
      <c r="A103" s="43" t="n">
        <v>100</v>
      </c>
      <c r="B103" s="44" t="n"/>
      <c r="C103" s="44" t="n"/>
      <c r="D103" s="44" t="n"/>
      <c r="E103" s="44" t="n"/>
      <c r="F103" s="44" t="n"/>
      <c r="G103" s="45" t="n"/>
      <c r="H103" s="45" t="n"/>
      <c r="I103" s="46">
        <f>IFERROR(H103/G103,"")</f>
        <v/>
      </c>
      <c r="J103" s="45" t="n"/>
      <c r="K103" s="45" t="n"/>
      <c r="L103" s="45" t="n"/>
      <c r="M103" s="45" t="n"/>
      <c r="N103" s="45" t="n"/>
      <c r="O103" s="45" t="n"/>
      <c r="P103" s="45" t="n"/>
      <c r="Q103" s="45" t="n"/>
      <c r="R103" s="45" t="n"/>
      <c r="S103" s="46">
        <f>IFERROR(R103/Q103,"")</f>
        <v/>
      </c>
      <c r="T103" s="45" t="n"/>
      <c r="U103" s="45" t="n"/>
      <c r="V103" s="45" t="n"/>
      <c r="W103" s="45" t="n"/>
      <c r="X103" s="45" t="n"/>
      <c r="Y103" s="46">
        <f>IFERROR(X103/W103,"")</f>
        <v/>
      </c>
      <c r="Z103" s="47" t="n"/>
      <c r="AA103" s="47" t="n"/>
      <c r="AB103" s="48">
        <f>IFERROR(AA103-Z103,"")</f>
        <v/>
      </c>
      <c r="AC103" s="44" t="n"/>
      <c r="AD103" s="44" t="n"/>
      <c r="AE103" s="44" t="n"/>
    </row>
  </sheetData>
  <autoFilter ref="A3:AC103"/>
  <mergeCells count="1">
    <mergeCell ref="A2:O2"/>
  </mergeCells>
  <dataValidations count="2">
    <dataValidation sqref="F4:F103" showDropDown="0" showInputMessage="0" showErrorMessage="0" allowBlank="1" type="list" errorStyle="stop" operator="between">
      <formula1>"Trọng điểm,Thường"</formula1>
      <formula2>0</formula2>
    </dataValidation>
    <dataValidation sqref="AC4:AC103" showDropDown="0" showInputMessage="0" showErrorMessage="0" allowBlank="1" type="list">
      <formula1>"Chưa triển khai,Đang triển khai,Cơ bản hoàn thành,Đã hoàn thành"</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tabColor rgb="FFC00000"/>
    <outlinePr summaryBelow="1" summaryRight="1"/>
    <pageSetUpPr fitToPage="0"/>
  </sheetPr>
  <dimension ref="A1:K6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25" min="1" max="1"/>
    <col width="28" customWidth="1" style="25" min="2" max="2"/>
    <col width="22" customWidth="1" style="25" min="3" max="3"/>
    <col width="18" customWidth="1" style="25" min="4" max="4"/>
    <col width="34" customWidth="1" style="25" min="5" max="5"/>
    <col width="22" customWidth="1" style="25" min="6" max="6"/>
    <col width="34" customWidth="1" style="25" min="7" max="7"/>
    <col width="18" customWidth="1" style="25" min="8" max="8"/>
    <col width="14" customWidth="1" style="25" min="9" max="9"/>
    <col width="12" customWidth="1" style="25" min="10" max="10"/>
    <col width="20" customWidth="1" style="26" min="11" max="11"/>
  </cols>
  <sheetData>
    <row r="1" ht="17.35" customHeight="1" s="26">
      <c r="A1" s="27" t="inlineStr">
        <is>
          <t>TỔNG HỢP KHÓ KHĂN, VƯỚNG MẮC VÀ KIẾN NGHỊ</t>
        </is>
      </c>
    </row>
    <row r="2" ht="15" customHeight="1" s="26">
      <c r="A2" s="35" t="inlineStr">
        <is>
          <t>Căn cứ: Thông tư 44/2026/TT-BTC, Mẫu số 03 (mục Khó khăn, vướng mắc; Kiến nghị). Xem chi tiết tại Sheet 'Chú thích - Căn cứ pháp lý' (mục 16).</t>
        </is>
      </c>
    </row>
    <row r="3"/>
    <row r="4" ht="30" customHeight="1" s="26">
      <c r="A4" s="30" t="inlineStr">
        <is>
          <t>STT</t>
        </is>
      </c>
      <c r="B4" s="30" t="inlineStr">
        <is>
          <t>Tên dự án</t>
        </is>
      </c>
      <c r="C4" s="30" t="inlineStr">
        <is>
          <t>Số văn bản/
báo cáo nguồn</t>
        </is>
      </c>
      <c r="D4" s="30" t="inlineStr">
        <is>
          <t>Loại vướng mắc</t>
        </is>
      </c>
      <c r="E4" s="30" t="inlineStr">
        <is>
          <t>Nội dung vướng mắc, khó khăn</t>
        </is>
      </c>
      <c r="F4" s="30" t="inlineStr">
        <is>
          <t>Đơn vị chịu trách nhiệm xử lý</t>
        </is>
      </c>
      <c r="G4" s="30" t="inlineStr">
        <is>
          <t>Đề xuất, kiến nghị</t>
        </is>
      </c>
      <c r="H4" s="30" t="inlineStr">
        <is>
          <t>Cấp thẩm quyền xử lý</t>
        </is>
      </c>
      <c r="I4" s="30" t="inlineStr">
        <is>
          <t>Trạng thái</t>
        </is>
      </c>
      <c r="J4" s="30" t="inlineStr">
        <is>
          <t>Kỳ báo cáo</t>
        </is>
      </c>
      <c r="K4" s="30" t="inlineStr">
        <is>
          <t>Ghi chú</t>
        </is>
      </c>
    </row>
    <row r="5" ht="15" customHeight="1" s="26">
      <c r="A5" s="31" t="n">
        <v>1</v>
      </c>
      <c r="B5" s="49" t="n"/>
      <c r="C5" s="49" t="n"/>
      <c r="D5" s="49" t="n"/>
      <c r="E5" s="49" t="n"/>
      <c r="F5" s="49" t="n"/>
      <c r="G5" s="49" t="n"/>
      <c r="H5" s="49" t="n"/>
      <c r="I5" s="49" t="n"/>
      <c r="J5" s="49" t="n"/>
      <c r="K5" s="49" t="n"/>
    </row>
    <row r="6" ht="15" customHeight="1" s="26">
      <c r="A6" s="31" t="n">
        <v>2</v>
      </c>
      <c r="B6" s="49" t="n"/>
      <c r="C6" s="49" t="n"/>
      <c r="D6" s="49" t="n"/>
      <c r="E6" s="49" t="n"/>
      <c r="F6" s="49" t="n"/>
      <c r="G6" s="49" t="n"/>
      <c r="H6" s="49" t="n"/>
      <c r="I6" s="49" t="n"/>
      <c r="J6" s="49" t="n"/>
      <c r="K6" s="49" t="n"/>
    </row>
    <row r="7" ht="15" customHeight="1" s="26">
      <c r="A7" s="31" t="n">
        <v>3</v>
      </c>
      <c r="B7" s="49" t="n"/>
      <c r="C7" s="49" t="n"/>
      <c r="D7" s="49" t="n"/>
      <c r="E7" s="49" t="n"/>
      <c r="F7" s="49" t="n"/>
      <c r="G7" s="49" t="n"/>
      <c r="H7" s="49" t="n"/>
      <c r="I7" s="49" t="n"/>
      <c r="J7" s="49" t="n"/>
      <c r="K7" s="49" t="n"/>
    </row>
    <row r="8" ht="15" customHeight="1" s="26">
      <c r="A8" s="31" t="n">
        <v>4</v>
      </c>
      <c r="B8" s="49" t="n"/>
      <c r="C8" s="49" t="n"/>
      <c r="D8" s="49" t="n"/>
      <c r="E8" s="49" t="n"/>
      <c r="F8" s="49" t="n"/>
      <c r="G8" s="49" t="n"/>
      <c r="H8" s="49" t="n"/>
      <c r="I8" s="49" t="n"/>
      <c r="J8" s="49" t="n"/>
      <c r="K8" s="49" t="n"/>
    </row>
    <row r="9" ht="15" customHeight="1" s="26">
      <c r="A9" s="31" t="n">
        <v>5</v>
      </c>
      <c r="B9" s="49" t="n"/>
      <c r="C9" s="49" t="n"/>
      <c r="D9" s="49" t="n"/>
      <c r="E9" s="49" t="n"/>
      <c r="F9" s="49" t="n"/>
      <c r="G9" s="49" t="n"/>
      <c r="H9" s="49" t="n"/>
      <c r="I9" s="49" t="n"/>
      <c r="J9" s="49" t="n"/>
      <c r="K9" s="49" t="n"/>
    </row>
    <row r="10" ht="15" customHeight="1" s="26">
      <c r="A10" s="31" t="n">
        <v>6</v>
      </c>
      <c r="B10" s="49" t="n"/>
      <c r="C10" s="49" t="n"/>
      <c r="D10" s="49" t="n"/>
      <c r="E10" s="49" t="n"/>
      <c r="F10" s="49" t="n"/>
      <c r="G10" s="49" t="n"/>
      <c r="H10" s="49" t="n"/>
      <c r="I10" s="49" t="n"/>
      <c r="J10" s="49" t="n"/>
      <c r="K10" s="49" t="n"/>
    </row>
    <row r="11" ht="15" customHeight="1" s="26">
      <c r="A11" s="31" t="n">
        <v>7</v>
      </c>
      <c r="B11" s="49" t="n"/>
      <c r="C11" s="49" t="n"/>
      <c r="D11" s="49" t="n"/>
      <c r="E11" s="49" t="n"/>
      <c r="F11" s="49" t="n"/>
      <c r="G11" s="49" t="n"/>
      <c r="H11" s="49" t="n"/>
      <c r="I11" s="49" t="n"/>
      <c r="J11" s="49" t="n"/>
      <c r="K11" s="49" t="n"/>
    </row>
    <row r="12" ht="15" customHeight="1" s="26">
      <c r="A12" s="31" t="n">
        <v>8</v>
      </c>
      <c r="B12" s="49" t="n"/>
      <c r="C12" s="49" t="n"/>
      <c r="D12" s="49" t="n"/>
      <c r="E12" s="49" t="n"/>
      <c r="F12" s="49" t="n"/>
      <c r="G12" s="49" t="n"/>
      <c r="H12" s="49" t="n"/>
      <c r="I12" s="49" t="n"/>
      <c r="J12" s="49" t="n"/>
      <c r="K12" s="49" t="n"/>
    </row>
    <row r="13" ht="15" customHeight="1" s="26">
      <c r="A13" s="31" t="n">
        <v>9</v>
      </c>
      <c r="B13" s="49" t="n"/>
      <c r="C13" s="49" t="n"/>
      <c r="D13" s="49" t="n"/>
      <c r="E13" s="49" t="n"/>
      <c r="F13" s="49" t="n"/>
      <c r="G13" s="49" t="n"/>
      <c r="H13" s="49" t="n"/>
      <c r="I13" s="49" t="n"/>
      <c r="J13" s="49" t="n"/>
      <c r="K13" s="49" t="n"/>
    </row>
    <row r="14" ht="15" customHeight="1" s="26">
      <c r="A14" s="31" t="n">
        <v>10</v>
      </c>
      <c r="B14" s="49" t="n"/>
      <c r="C14" s="49" t="n"/>
      <c r="D14" s="49" t="n"/>
      <c r="E14" s="49" t="n"/>
      <c r="F14" s="49" t="n"/>
      <c r="G14" s="49" t="n"/>
      <c r="H14" s="49" t="n"/>
      <c r="I14" s="49" t="n"/>
      <c r="J14" s="49" t="n"/>
      <c r="K14" s="49" t="n"/>
    </row>
    <row r="15" ht="15" customHeight="1" s="26">
      <c r="A15" s="31" t="n">
        <v>11</v>
      </c>
      <c r="B15" s="49" t="n"/>
      <c r="C15" s="49" t="n"/>
      <c r="D15" s="49" t="n"/>
      <c r="E15" s="49" t="n"/>
      <c r="F15" s="49" t="n"/>
      <c r="G15" s="49" t="n"/>
      <c r="H15" s="49" t="n"/>
      <c r="I15" s="49" t="n"/>
      <c r="J15" s="49" t="n"/>
      <c r="K15" s="49" t="n"/>
    </row>
    <row r="16" ht="15" customHeight="1" s="26">
      <c r="A16" s="31" t="n">
        <v>12</v>
      </c>
      <c r="B16" s="49" t="n"/>
      <c r="C16" s="49" t="n"/>
      <c r="D16" s="49" t="n"/>
      <c r="E16" s="49" t="n"/>
      <c r="F16" s="49" t="n"/>
      <c r="G16" s="49" t="n"/>
      <c r="H16" s="49" t="n"/>
      <c r="I16" s="49" t="n"/>
      <c r="J16" s="49" t="n"/>
      <c r="K16" s="49" t="n"/>
    </row>
    <row r="17" ht="15" customHeight="1" s="26">
      <c r="A17" s="31" t="n">
        <v>13</v>
      </c>
      <c r="B17" s="49" t="n"/>
      <c r="C17" s="49" t="n"/>
      <c r="D17" s="49" t="n"/>
      <c r="E17" s="49" t="n"/>
      <c r="F17" s="49" t="n"/>
      <c r="G17" s="49" t="n"/>
      <c r="H17" s="49" t="n"/>
      <c r="I17" s="49" t="n"/>
      <c r="J17" s="49" t="n"/>
      <c r="K17" s="49" t="n"/>
    </row>
    <row r="18" ht="15" customHeight="1" s="26">
      <c r="A18" s="31" t="n">
        <v>14</v>
      </c>
      <c r="B18" s="49" t="n"/>
      <c r="C18" s="49" t="n"/>
      <c r="D18" s="49" t="n"/>
      <c r="E18" s="49" t="n"/>
      <c r="F18" s="49" t="n"/>
      <c r="G18" s="49" t="n"/>
      <c r="H18" s="49" t="n"/>
      <c r="I18" s="49" t="n"/>
      <c r="J18" s="49" t="n"/>
      <c r="K18" s="49" t="n"/>
    </row>
    <row r="19" ht="15" customHeight="1" s="26">
      <c r="A19" s="31" t="n">
        <v>15</v>
      </c>
      <c r="B19" s="49" t="n"/>
      <c r="C19" s="49" t="n"/>
      <c r="D19" s="49" t="n"/>
      <c r="E19" s="49" t="n"/>
      <c r="F19" s="49" t="n"/>
      <c r="G19" s="49" t="n"/>
      <c r="H19" s="49" t="n"/>
      <c r="I19" s="49" t="n"/>
      <c r="J19" s="49" t="n"/>
      <c r="K19" s="49" t="n"/>
    </row>
    <row r="20" ht="15" customHeight="1" s="26">
      <c r="A20" s="31" t="n">
        <v>16</v>
      </c>
      <c r="B20" s="49" t="n"/>
      <c r="C20" s="49" t="n"/>
      <c r="D20" s="49" t="n"/>
      <c r="E20" s="49" t="n"/>
      <c r="F20" s="49" t="n"/>
      <c r="G20" s="49" t="n"/>
      <c r="H20" s="49" t="n"/>
      <c r="I20" s="49" t="n"/>
      <c r="J20" s="49" t="n"/>
      <c r="K20" s="49" t="n"/>
    </row>
    <row r="21" ht="15" customHeight="1" s="26">
      <c r="A21" s="31" t="n">
        <v>17</v>
      </c>
      <c r="B21" s="49" t="n"/>
      <c r="C21" s="49" t="n"/>
      <c r="D21" s="49" t="n"/>
      <c r="E21" s="49" t="n"/>
      <c r="F21" s="49" t="n"/>
      <c r="G21" s="49" t="n"/>
      <c r="H21" s="49" t="n"/>
      <c r="I21" s="49" t="n"/>
      <c r="J21" s="49" t="n"/>
      <c r="K21" s="49" t="n"/>
    </row>
    <row r="22" ht="15" customHeight="1" s="26">
      <c r="A22" s="31" t="n">
        <v>18</v>
      </c>
      <c r="B22" s="49" t="n"/>
      <c r="C22" s="49" t="n"/>
      <c r="D22" s="49" t="n"/>
      <c r="E22" s="49" t="n"/>
      <c r="F22" s="49" t="n"/>
      <c r="G22" s="49" t="n"/>
      <c r="H22" s="49" t="n"/>
      <c r="I22" s="49" t="n"/>
      <c r="J22" s="49" t="n"/>
      <c r="K22" s="49" t="n"/>
    </row>
    <row r="23" ht="15" customHeight="1" s="26">
      <c r="A23" s="31" t="n">
        <v>19</v>
      </c>
      <c r="B23" s="49" t="n"/>
      <c r="C23" s="49" t="n"/>
      <c r="D23" s="49" t="n"/>
      <c r="E23" s="49" t="n"/>
      <c r="F23" s="49" t="n"/>
      <c r="G23" s="49" t="n"/>
      <c r="H23" s="49" t="n"/>
      <c r="I23" s="49" t="n"/>
      <c r="J23" s="49" t="n"/>
      <c r="K23" s="49" t="n"/>
    </row>
    <row r="24" ht="15" customHeight="1" s="26">
      <c r="A24" s="31" t="n">
        <v>20</v>
      </c>
      <c r="B24" s="49" t="n"/>
      <c r="C24" s="49" t="n"/>
      <c r="D24" s="49" t="n"/>
      <c r="E24" s="49" t="n"/>
      <c r="F24" s="49" t="n"/>
      <c r="G24" s="49" t="n"/>
      <c r="H24" s="49" t="n"/>
      <c r="I24" s="49" t="n"/>
      <c r="J24" s="49" t="n"/>
      <c r="K24" s="49" t="n"/>
    </row>
    <row r="25" ht="15" customHeight="1" s="26">
      <c r="A25" s="31" t="n">
        <v>21</v>
      </c>
      <c r="B25" s="49" t="n"/>
      <c r="C25" s="49" t="n"/>
      <c r="D25" s="49" t="n"/>
      <c r="E25" s="49" t="n"/>
      <c r="F25" s="49" t="n"/>
      <c r="G25" s="49" t="n"/>
      <c r="H25" s="49" t="n"/>
      <c r="I25" s="49" t="n"/>
      <c r="J25" s="49" t="n"/>
      <c r="K25" s="49" t="n"/>
    </row>
    <row r="26" ht="15" customHeight="1" s="26">
      <c r="A26" s="31" t="n">
        <v>22</v>
      </c>
      <c r="B26" s="49" t="n"/>
      <c r="C26" s="49" t="n"/>
      <c r="D26" s="49" t="n"/>
      <c r="E26" s="49" t="n"/>
      <c r="F26" s="49" t="n"/>
      <c r="G26" s="49" t="n"/>
      <c r="H26" s="49" t="n"/>
      <c r="I26" s="49" t="n"/>
      <c r="J26" s="49" t="n"/>
      <c r="K26" s="49" t="n"/>
    </row>
    <row r="27" ht="15" customHeight="1" s="26">
      <c r="A27" s="31" t="n">
        <v>23</v>
      </c>
      <c r="B27" s="49" t="n"/>
      <c r="C27" s="49" t="n"/>
      <c r="D27" s="49" t="n"/>
      <c r="E27" s="49" t="n"/>
      <c r="F27" s="49" t="n"/>
      <c r="G27" s="49" t="n"/>
      <c r="H27" s="49" t="n"/>
      <c r="I27" s="49" t="n"/>
      <c r="J27" s="49" t="n"/>
      <c r="K27" s="49" t="n"/>
    </row>
    <row r="28" ht="15" customHeight="1" s="26">
      <c r="A28" s="31" t="n">
        <v>24</v>
      </c>
      <c r="B28" s="49" t="n"/>
      <c r="C28" s="49" t="n"/>
      <c r="D28" s="49" t="n"/>
      <c r="E28" s="49" t="n"/>
      <c r="F28" s="49" t="n"/>
      <c r="G28" s="49" t="n"/>
      <c r="H28" s="49" t="n"/>
      <c r="I28" s="49" t="n"/>
      <c r="J28" s="49" t="n"/>
      <c r="K28" s="49" t="n"/>
    </row>
    <row r="29" ht="15" customHeight="1" s="26">
      <c r="A29" s="31" t="n">
        <v>25</v>
      </c>
      <c r="B29" s="49" t="n"/>
      <c r="C29" s="49" t="n"/>
      <c r="D29" s="49" t="n"/>
      <c r="E29" s="49" t="n"/>
      <c r="F29" s="49" t="n"/>
      <c r="G29" s="49" t="n"/>
      <c r="H29" s="49" t="n"/>
      <c r="I29" s="49" t="n"/>
      <c r="J29" s="49" t="n"/>
      <c r="K29" s="49" t="n"/>
    </row>
    <row r="30" ht="15" customHeight="1" s="26">
      <c r="A30" s="31" t="n">
        <v>26</v>
      </c>
      <c r="B30" s="49" t="n"/>
      <c r="C30" s="49" t="n"/>
      <c r="D30" s="49" t="n"/>
      <c r="E30" s="49" t="n"/>
      <c r="F30" s="49" t="n"/>
      <c r="G30" s="49" t="n"/>
      <c r="H30" s="49" t="n"/>
      <c r="I30" s="49" t="n"/>
      <c r="J30" s="49" t="n"/>
      <c r="K30" s="49" t="n"/>
    </row>
    <row r="31" ht="15" customHeight="1" s="26">
      <c r="A31" s="31" t="n">
        <v>27</v>
      </c>
      <c r="B31" s="49" t="n"/>
      <c r="C31" s="49" t="n"/>
      <c r="D31" s="49" t="n"/>
      <c r="E31" s="49" t="n"/>
      <c r="F31" s="49" t="n"/>
      <c r="G31" s="49" t="n"/>
      <c r="H31" s="49" t="n"/>
      <c r="I31" s="49" t="n"/>
      <c r="J31" s="49" t="n"/>
      <c r="K31" s="49" t="n"/>
    </row>
    <row r="32" ht="15" customHeight="1" s="26">
      <c r="A32" s="31" t="n">
        <v>28</v>
      </c>
      <c r="B32" s="49" t="n"/>
      <c r="C32" s="49" t="n"/>
      <c r="D32" s="49" t="n"/>
      <c r="E32" s="49" t="n"/>
      <c r="F32" s="49" t="n"/>
      <c r="G32" s="49" t="n"/>
      <c r="H32" s="49" t="n"/>
      <c r="I32" s="49" t="n"/>
      <c r="J32" s="49" t="n"/>
      <c r="K32" s="49" t="n"/>
    </row>
    <row r="33" ht="15" customHeight="1" s="26">
      <c r="A33" s="31" t="n">
        <v>29</v>
      </c>
      <c r="B33" s="49" t="n"/>
      <c r="C33" s="49" t="n"/>
      <c r="D33" s="49" t="n"/>
      <c r="E33" s="49" t="n"/>
      <c r="F33" s="49" t="n"/>
      <c r="G33" s="49" t="n"/>
      <c r="H33" s="49" t="n"/>
      <c r="I33" s="49" t="n"/>
      <c r="J33" s="49" t="n"/>
      <c r="K33" s="49" t="n"/>
    </row>
    <row r="34" ht="15" customHeight="1" s="26">
      <c r="A34" s="31" t="n">
        <v>30</v>
      </c>
      <c r="B34" s="49" t="n"/>
      <c r="C34" s="49" t="n"/>
      <c r="D34" s="49" t="n"/>
      <c r="E34" s="49" t="n"/>
      <c r="F34" s="49" t="n"/>
      <c r="G34" s="49" t="n"/>
      <c r="H34" s="49" t="n"/>
      <c r="I34" s="49" t="n"/>
      <c r="J34" s="49" t="n"/>
      <c r="K34" s="49" t="n"/>
    </row>
    <row r="35" ht="15" customHeight="1" s="26">
      <c r="A35" s="31" t="n">
        <v>31</v>
      </c>
      <c r="B35" s="49" t="n"/>
      <c r="C35" s="49" t="n"/>
      <c r="D35" s="49" t="n"/>
      <c r="E35" s="49" t="n"/>
      <c r="F35" s="49" t="n"/>
      <c r="G35" s="49" t="n"/>
      <c r="H35" s="49" t="n"/>
      <c r="I35" s="49" t="n"/>
      <c r="J35" s="49" t="n"/>
      <c r="K35" s="49" t="n"/>
    </row>
    <row r="36" ht="15" customHeight="1" s="26">
      <c r="A36" s="31" t="n">
        <v>32</v>
      </c>
      <c r="B36" s="49" t="n"/>
      <c r="C36" s="49" t="n"/>
      <c r="D36" s="49" t="n"/>
      <c r="E36" s="49" t="n"/>
      <c r="F36" s="49" t="n"/>
      <c r="G36" s="49" t="n"/>
      <c r="H36" s="49" t="n"/>
      <c r="I36" s="49" t="n"/>
      <c r="J36" s="49" t="n"/>
      <c r="K36" s="49" t="n"/>
    </row>
    <row r="37" ht="15" customHeight="1" s="26">
      <c r="A37" s="31" t="n">
        <v>33</v>
      </c>
      <c r="B37" s="49" t="n"/>
      <c r="C37" s="49" t="n"/>
      <c r="D37" s="49" t="n"/>
      <c r="E37" s="49" t="n"/>
      <c r="F37" s="49" t="n"/>
      <c r="G37" s="49" t="n"/>
      <c r="H37" s="49" t="n"/>
      <c r="I37" s="49" t="n"/>
      <c r="J37" s="49" t="n"/>
      <c r="K37" s="49" t="n"/>
    </row>
    <row r="38" ht="15" customHeight="1" s="26">
      <c r="A38" s="31" t="n">
        <v>34</v>
      </c>
      <c r="B38" s="49" t="n"/>
      <c r="C38" s="49" t="n"/>
      <c r="D38" s="49" t="n"/>
      <c r="E38" s="49" t="n"/>
      <c r="F38" s="49" t="n"/>
      <c r="G38" s="49" t="n"/>
      <c r="H38" s="49" t="n"/>
      <c r="I38" s="49" t="n"/>
      <c r="J38" s="49" t="n"/>
      <c r="K38" s="49" t="n"/>
    </row>
    <row r="39" ht="15" customHeight="1" s="26">
      <c r="A39" s="31" t="n">
        <v>35</v>
      </c>
      <c r="B39" s="49" t="n"/>
      <c r="C39" s="49" t="n"/>
      <c r="D39" s="49" t="n"/>
      <c r="E39" s="49" t="n"/>
      <c r="F39" s="49" t="n"/>
      <c r="G39" s="49" t="n"/>
      <c r="H39" s="49" t="n"/>
      <c r="I39" s="49" t="n"/>
      <c r="J39" s="49" t="n"/>
      <c r="K39" s="49" t="n"/>
    </row>
    <row r="40" ht="15" customHeight="1" s="26">
      <c r="A40" s="31" t="n">
        <v>36</v>
      </c>
      <c r="B40" s="49" t="n"/>
      <c r="C40" s="49" t="n"/>
      <c r="D40" s="49" t="n"/>
      <c r="E40" s="49" t="n"/>
      <c r="F40" s="49" t="n"/>
      <c r="G40" s="49" t="n"/>
      <c r="H40" s="49" t="n"/>
      <c r="I40" s="49" t="n"/>
      <c r="J40" s="49" t="n"/>
      <c r="K40" s="49" t="n"/>
    </row>
    <row r="41" ht="15" customHeight="1" s="26">
      <c r="A41" s="31" t="n">
        <v>37</v>
      </c>
      <c r="B41" s="49" t="n"/>
      <c r="C41" s="49" t="n"/>
      <c r="D41" s="49" t="n"/>
      <c r="E41" s="49" t="n"/>
      <c r="F41" s="49" t="n"/>
      <c r="G41" s="49" t="n"/>
      <c r="H41" s="49" t="n"/>
      <c r="I41" s="49" t="n"/>
      <c r="J41" s="49" t="n"/>
      <c r="K41" s="49" t="n"/>
    </row>
    <row r="42" ht="15" customHeight="1" s="26">
      <c r="A42" s="31" t="n">
        <v>38</v>
      </c>
      <c r="B42" s="49" t="n"/>
      <c r="C42" s="49" t="n"/>
      <c r="D42" s="49" t="n"/>
      <c r="E42" s="49" t="n"/>
      <c r="F42" s="49" t="n"/>
      <c r="G42" s="49" t="n"/>
      <c r="H42" s="49" t="n"/>
      <c r="I42" s="49" t="n"/>
      <c r="J42" s="49" t="n"/>
      <c r="K42" s="49" t="n"/>
    </row>
    <row r="43" ht="15" customHeight="1" s="26">
      <c r="A43" s="31" t="n">
        <v>39</v>
      </c>
      <c r="B43" s="49" t="n"/>
      <c r="C43" s="49" t="n"/>
      <c r="D43" s="49" t="n"/>
      <c r="E43" s="49" t="n"/>
      <c r="F43" s="49" t="n"/>
      <c r="G43" s="49" t="n"/>
      <c r="H43" s="49" t="n"/>
      <c r="I43" s="49" t="n"/>
      <c r="J43" s="49" t="n"/>
      <c r="K43" s="49" t="n"/>
    </row>
    <row r="44" ht="15" customHeight="1" s="26">
      <c r="A44" s="31" t="n">
        <v>40</v>
      </c>
      <c r="B44" s="49" t="n"/>
      <c r="C44" s="49" t="n"/>
      <c r="D44" s="49" t="n"/>
      <c r="E44" s="49" t="n"/>
      <c r="F44" s="49" t="n"/>
      <c r="G44" s="49" t="n"/>
      <c r="H44" s="49" t="n"/>
      <c r="I44" s="49" t="n"/>
      <c r="J44" s="49" t="n"/>
      <c r="K44" s="49" t="n"/>
    </row>
    <row r="45" ht="15" customHeight="1" s="26">
      <c r="A45" s="31" t="n">
        <v>41</v>
      </c>
      <c r="B45" s="49" t="n"/>
      <c r="C45" s="49" t="n"/>
      <c r="D45" s="49" t="n"/>
      <c r="E45" s="49" t="n"/>
      <c r="F45" s="49" t="n"/>
      <c r="G45" s="49" t="n"/>
      <c r="H45" s="49" t="n"/>
      <c r="I45" s="49" t="n"/>
      <c r="J45" s="49" t="n"/>
      <c r="K45" s="49" t="n"/>
    </row>
    <row r="46" ht="15" customHeight="1" s="26">
      <c r="A46" s="31" t="n">
        <v>42</v>
      </c>
      <c r="B46" s="49" t="n"/>
      <c r="C46" s="49" t="n"/>
      <c r="D46" s="49" t="n"/>
      <c r="E46" s="49" t="n"/>
      <c r="F46" s="49" t="n"/>
      <c r="G46" s="49" t="n"/>
      <c r="H46" s="49" t="n"/>
      <c r="I46" s="49" t="n"/>
      <c r="J46" s="49" t="n"/>
      <c r="K46" s="49" t="n"/>
    </row>
    <row r="47" ht="15" customHeight="1" s="26">
      <c r="A47" s="31" t="n">
        <v>43</v>
      </c>
      <c r="B47" s="49" t="n"/>
      <c r="C47" s="49" t="n"/>
      <c r="D47" s="49" t="n"/>
      <c r="E47" s="49" t="n"/>
      <c r="F47" s="49" t="n"/>
      <c r="G47" s="49" t="n"/>
      <c r="H47" s="49" t="n"/>
      <c r="I47" s="49" t="n"/>
      <c r="J47" s="49" t="n"/>
      <c r="K47" s="49" t="n"/>
    </row>
    <row r="48" ht="15" customHeight="1" s="26">
      <c r="A48" s="31" t="n">
        <v>44</v>
      </c>
      <c r="B48" s="49" t="n"/>
      <c r="C48" s="49" t="n"/>
      <c r="D48" s="49" t="n"/>
      <c r="E48" s="49" t="n"/>
      <c r="F48" s="49" t="n"/>
      <c r="G48" s="49" t="n"/>
      <c r="H48" s="49" t="n"/>
      <c r="I48" s="49" t="n"/>
      <c r="J48" s="49" t="n"/>
      <c r="K48" s="49" t="n"/>
    </row>
    <row r="49" ht="15" customHeight="1" s="26">
      <c r="A49" s="31" t="n">
        <v>45</v>
      </c>
      <c r="B49" s="49" t="n"/>
      <c r="C49" s="49" t="n"/>
      <c r="D49" s="49" t="n"/>
      <c r="E49" s="49" t="n"/>
      <c r="F49" s="49" t="n"/>
      <c r="G49" s="49" t="n"/>
      <c r="H49" s="49" t="n"/>
      <c r="I49" s="49" t="n"/>
      <c r="J49" s="49" t="n"/>
      <c r="K49" s="49" t="n"/>
    </row>
    <row r="50" ht="15" customHeight="1" s="26">
      <c r="A50" s="31" t="n">
        <v>46</v>
      </c>
      <c r="B50" s="49" t="n"/>
      <c r="C50" s="49" t="n"/>
      <c r="D50" s="49" t="n"/>
      <c r="E50" s="49" t="n"/>
      <c r="F50" s="49" t="n"/>
      <c r="G50" s="49" t="n"/>
      <c r="H50" s="49" t="n"/>
      <c r="I50" s="49" t="n"/>
      <c r="J50" s="49" t="n"/>
      <c r="K50" s="49" t="n"/>
    </row>
    <row r="51" ht="15" customHeight="1" s="26">
      <c r="A51" s="31" t="n">
        <v>47</v>
      </c>
      <c r="B51" s="49" t="n"/>
      <c r="C51" s="49" t="n"/>
      <c r="D51" s="49" t="n"/>
      <c r="E51" s="49" t="n"/>
      <c r="F51" s="49" t="n"/>
      <c r="G51" s="49" t="n"/>
      <c r="H51" s="49" t="n"/>
      <c r="I51" s="49" t="n"/>
      <c r="J51" s="49" t="n"/>
      <c r="K51" s="49" t="n"/>
    </row>
    <row r="52" ht="15" customHeight="1" s="26">
      <c r="A52" s="31" t="n">
        <v>48</v>
      </c>
      <c r="B52" s="49" t="n"/>
      <c r="C52" s="49" t="n"/>
      <c r="D52" s="49" t="n"/>
      <c r="E52" s="49" t="n"/>
      <c r="F52" s="49" t="n"/>
      <c r="G52" s="49" t="n"/>
      <c r="H52" s="49" t="n"/>
      <c r="I52" s="49" t="n"/>
      <c r="J52" s="49" t="n"/>
      <c r="K52" s="49" t="n"/>
    </row>
    <row r="53" ht="15" customHeight="1" s="26">
      <c r="A53" s="31" t="n">
        <v>49</v>
      </c>
      <c r="B53" s="49" t="n"/>
      <c r="C53" s="49" t="n"/>
      <c r="D53" s="49" t="n"/>
      <c r="E53" s="49" t="n"/>
      <c r="F53" s="49" t="n"/>
      <c r="G53" s="49" t="n"/>
      <c r="H53" s="49" t="n"/>
      <c r="I53" s="49" t="n"/>
      <c r="J53" s="49" t="n"/>
      <c r="K53" s="49" t="n"/>
    </row>
    <row r="54" ht="15" customHeight="1" s="26">
      <c r="A54" s="31" t="n">
        <v>50</v>
      </c>
      <c r="B54" s="49" t="n"/>
      <c r="C54" s="49" t="n"/>
      <c r="D54" s="49" t="n"/>
      <c r="E54" s="49" t="n"/>
      <c r="F54" s="49" t="n"/>
      <c r="G54" s="49" t="n"/>
      <c r="H54" s="49" t="n"/>
      <c r="I54" s="49" t="n"/>
      <c r="J54" s="49" t="n"/>
      <c r="K54" s="49" t="n"/>
    </row>
    <row r="55" ht="15" customHeight="1" s="26">
      <c r="A55" s="31" t="n">
        <v>51</v>
      </c>
      <c r="B55" s="49" t="n"/>
      <c r="C55" s="49" t="n"/>
      <c r="D55" s="49" t="n"/>
      <c r="E55" s="49" t="n"/>
      <c r="F55" s="49" t="n"/>
      <c r="G55" s="49" t="n"/>
      <c r="H55" s="49" t="n"/>
      <c r="I55" s="49" t="n"/>
      <c r="J55" s="49" t="n"/>
      <c r="K55" s="49" t="n"/>
    </row>
    <row r="56" ht="15" customHeight="1" s="26">
      <c r="A56" s="31" t="n">
        <v>52</v>
      </c>
      <c r="B56" s="49" t="n"/>
      <c r="C56" s="49" t="n"/>
      <c r="D56" s="49" t="n"/>
      <c r="E56" s="49" t="n"/>
      <c r="F56" s="49" t="n"/>
      <c r="G56" s="49" t="n"/>
      <c r="H56" s="49" t="n"/>
      <c r="I56" s="49" t="n"/>
      <c r="J56" s="49" t="n"/>
      <c r="K56" s="49" t="n"/>
    </row>
    <row r="57" ht="15" customHeight="1" s="26">
      <c r="A57" s="31" t="n">
        <v>53</v>
      </c>
      <c r="B57" s="49" t="n"/>
      <c r="C57" s="49" t="n"/>
      <c r="D57" s="49" t="n"/>
      <c r="E57" s="49" t="n"/>
      <c r="F57" s="49" t="n"/>
      <c r="G57" s="49" t="n"/>
      <c r="H57" s="49" t="n"/>
      <c r="I57" s="49" t="n"/>
      <c r="J57" s="49" t="n"/>
      <c r="K57" s="49" t="n"/>
    </row>
    <row r="58" ht="15" customHeight="1" s="26">
      <c r="A58" s="31" t="n">
        <v>54</v>
      </c>
      <c r="B58" s="49" t="n"/>
      <c r="C58" s="49" t="n"/>
      <c r="D58" s="49" t="n"/>
      <c r="E58" s="49" t="n"/>
      <c r="F58" s="49" t="n"/>
      <c r="G58" s="49" t="n"/>
      <c r="H58" s="49" t="n"/>
      <c r="I58" s="49" t="n"/>
      <c r="J58" s="49" t="n"/>
      <c r="K58" s="49" t="n"/>
    </row>
    <row r="59" ht="15" customHeight="1" s="26">
      <c r="A59" s="31" t="n">
        <v>55</v>
      </c>
      <c r="B59" s="49" t="n"/>
      <c r="C59" s="49" t="n"/>
      <c r="D59" s="49" t="n"/>
      <c r="E59" s="49" t="n"/>
      <c r="F59" s="49" t="n"/>
      <c r="G59" s="49" t="n"/>
      <c r="H59" s="49" t="n"/>
      <c r="I59" s="49" t="n"/>
      <c r="J59" s="49" t="n"/>
      <c r="K59" s="49" t="n"/>
    </row>
    <row r="60" ht="15" customHeight="1" s="26">
      <c r="A60" s="31" t="n">
        <v>56</v>
      </c>
      <c r="B60" s="49" t="n"/>
      <c r="C60" s="49" t="n"/>
      <c r="D60" s="49" t="n"/>
      <c r="E60" s="49" t="n"/>
      <c r="F60" s="49" t="n"/>
      <c r="G60" s="49" t="n"/>
      <c r="H60" s="49" t="n"/>
      <c r="I60" s="49" t="n"/>
      <c r="J60" s="49" t="n"/>
      <c r="K60" s="49" t="n"/>
    </row>
    <row r="61" ht="15" customHeight="1" s="26">
      <c r="A61" s="31" t="n">
        <v>57</v>
      </c>
      <c r="B61" s="49" t="n"/>
      <c r="C61" s="49" t="n"/>
      <c r="D61" s="49" t="n"/>
      <c r="E61" s="49" t="n"/>
      <c r="F61" s="49" t="n"/>
      <c r="G61" s="49" t="n"/>
      <c r="H61" s="49" t="n"/>
      <c r="I61" s="49" t="n"/>
      <c r="J61" s="49" t="n"/>
      <c r="K61" s="49" t="n"/>
    </row>
    <row r="62" ht="15" customHeight="1" s="26">
      <c r="A62" s="31" t="n">
        <v>58</v>
      </c>
      <c r="B62" s="49" t="n"/>
      <c r="C62" s="49" t="n"/>
      <c r="D62" s="49" t="n"/>
      <c r="E62" s="49" t="n"/>
      <c r="F62" s="49" t="n"/>
      <c r="G62" s="49" t="n"/>
      <c r="H62" s="49" t="n"/>
      <c r="I62" s="49" t="n"/>
      <c r="J62" s="49" t="n"/>
      <c r="K62" s="49" t="n"/>
    </row>
    <row r="63" ht="15" customHeight="1" s="26">
      <c r="A63" s="31" t="n">
        <v>59</v>
      </c>
      <c r="B63" s="49" t="n"/>
      <c r="C63" s="49" t="n"/>
      <c r="D63" s="49" t="n"/>
      <c r="E63" s="49" t="n"/>
      <c r="F63" s="49" t="n"/>
      <c r="G63" s="49" t="n"/>
      <c r="H63" s="49" t="n"/>
      <c r="I63" s="49" t="n"/>
      <c r="J63" s="49" t="n"/>
      <c r="K63" s="49" t="n"/>
    </row>
  </sheetData>
  <autoFilter ref="A4:J63"/>
  <mergeCells count="2">
    <mergeCell ref="A1:J1"/>
    <mergeCell ref="A2:J2"/>
  </mergeCells>
  <dataValidations count="4">
    <dataValidation sqref="B5:B63" showDropDown="0" showInputMessage="0" showErrorMessage="0" allowBlank="1" type="list" errorStyle="stop" operator="between">
      <formula1>'Danh mục dự án'!$B$4:$B$103</formula1>
      <formula2>0</formula2>
    </dataValidation>
    <dataValidation sqref="D5:D63" showDropDown="0" showInputMessage="0" showErrorMessage="0" allowBlank="1" type="list">
      <formula1>"Đơn giá/chính sách bồi thường,Pháp lý nguồn gốc đất,Quỹ nhà/đất tái định cư,Nguồn vốn/giải ngân,Khiếu nại của người dân,Khác"</formula1>
    </dataValidation>
    <dataValidation sqref="H5:H63" showDropDown="0" showInputMessage="0" showErrorMessage="0" allowBlank="1" type="list">
      <formula1>"Sở Nông nghiệp và Môi trường,UBND phường/xã,UBND Thành phố,Trung ương"</formula1>
    </dataValidation>
    <dataValidation sqref="I5:I63" showDropDown="0" showInputMessage="0" showErrorMessage="0" allowBlank="1" type="list">
      <formula1>"Đang xử lý,Đã giải quyết"</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25" min="1" max="1"/>
    <col width="22" customWidth="1" style="25" min="2" max="2"/>
    <col width="30" customWidth="1" style="25" min="3" max="3"/>
    <col width="44" customWidth="1" style="25" min="4" max="4"/>
    <col width="60" customWidth="1" style="25" min="5" max="5"/>
  </cols>
  <sheetData>
    <row r="1" ht="17.35" customHeight="1" s="26">
      <c r="A1" s="27" t="inlineStr">
        <is>
          <t>CHÚ THÍCH - CĂN CỨ PHÁP LÝ CỦA TỪNG CHỈ TIÊU / THÔNG TIN</t>
        </is>
      </c>
    </row>
    <row r="2" ht="15" customHeight="1" s="26">
      <c r="A2" s="35" t="inlineStr">
        <is>
          <t>Lưu ý: một số chỉ tiêu được nêu đích danh trong mẫu báo cáo tại Thông tư 44/2026/TT-BTC; một số chỉ tiêu khác (kiểm đếm, phương án duyệt, bố trí tái định cư...) là mốc theo dõi nội bộ cụ thể hóa các bước trong trình tự, thủ tục bồi thường quy định tại Nghị định 88/2024/NĐ-CP, không phải chỉ tiêu bắt buộc nêu tên riêng trong mẫu biểu.</t>
        </is>
      </c>
    </row>
    <row r="4" ht="15" customHeight="1" s="26">
      <c r="A4" s="30" t="inlineStr">
        <is>
          <t>STT</t>
        </is>
      </c>
      <c r="B4" s="30" t="inlineStr">
        <is>
          <t>Sheet / Cột</t>
        </is>
      </c>
      <c r="C4" s="30" t="inlineStr">
        <is>
          <t>Chỉ tiêu, thông tin</t>
        </is>
      </c>
      <c r="D4" s="30" t="inlineStr">
        <is>
          <t>Ý nghĩa - cách tính</t>
        </is>
      </c>
      <c r="E4" s="30" t="inlineStr">
        <is>
          <t>Căn cứ pháp lý</t>
        </is>
      </c>
    </row>
    <row r="5" ht="23.85" customHeight="1" s="26">
      <c r="A5" s="31" t="n">
        <v>1</v>
      </c>
      <c r="B5" s="31" t="inlineStr">
        <is>
          <t>Danh mục dự án - Cột G</t>
        </is>
      </c>
      <c r="C5" s="31" t="inlineStr">
        <is>
          <t>Tổng diện tích phải thu hồi (m²)</t>
        </is>
      </c>
      <c r="D5" s="31" t="inlineStr">
        <is>
          <t>Diện tích đất phải thu hồi theo phương án bồi thường, hỗ trợ, TĐC đã được cấp thẩm quyền phê duyệt.</t>
        </is>
      </c>
      <c r="E5" s="31" t="inlineStr">
        <is>
          <t>Nêu tại Quyết định phê duyệt dự án/dự án thành phần bồi thường, GPMB (ví dụ Điều 1 Quyết định phê duyệt DATP).</t>
        </is>
      </c>
    </row>
    <row r="6" ht="23.85" customHeight="1" s="26">
      <c r="A6" s="31" t="n">
        <v>2</v>
      </c>
      <c r="B6" s="31" t="inlineStr">
        <is>
          <t>Danh mục dự án - Cột H</t>
        </is>
      </c>
      <c r="C6" s="31" t="inlineStr">
        <is>
          <t>Diện tích đã thu hồi, bàn giao (m²)</t>
        </is>
      </c>
      <c r="D6" s="31" t="inlineStr">
        <is>
          <t>Khối lượng thực hiện công tác thu hồi đất đến kỳ báo cáo.</t>
        </is>
      </c>
      <c r="E6" s="31" t="inlineStr">
        <is>
          <t>Thông tư 44/2026/TT-BTC (Bộ Tài chính), Mẫu số 03, mục II.1.2: "Tổng diện tích đất được thu hồi và bàn giao đến thời điểm báo cáo".</t>
        </is>
      </c>
    </row>
    <row r="7" ht="23.85" customHeight="1" s="26">
      <c r="A7" s="31" t="n">
        <v>3</v>
      </c>
      <c r="B7" s="31" t="inlineStr">
        <is>
          <t>Danh mục dự án - Cột I</t>
        </is>
      </c>
      <c r="C7" s="31" t="inlineStr">
        <is>
          <t>Tỷ lệ % hoàn thành diện tích</t>
        </is>
      </c>
      <c r="D7" s="31" t="inlineStr">
        <is>
          <t>Công thức = H/G. Chỉ số tính toán nội bộ, phản ánh trực tiếp 2 chỉ tiêu tại TT44/2026.</t>
        </is>
      </c>
      <c r="E7" s="31" t="inlineStr">
        <is>
          <t>Không phải chỉ tiêu bắt buộc riêng - suy ra từ 2 chỉ tiêu tại TT44/2026 Mẫu 03.</t>
        </is>
      </c>
    </row>
    <row r="8" ht="46.25" customHeight="1" s="26">
      <c r="A8" s="31" t="n">
        <v>4</v>
      </c>
      <c r="B8" s="31" t="inlineStr">
        <is>
          <t>Danh mục dự án - Cột J, K-P</t>
        </is>
      </c>
      <c r="C8" s="31" t="inlineStr">
        <is>
          <t>Tổng số hộ/tổ chức thuộc diện thu hồi đất (J); số đã có TB thu hồi đất (K); số đã kiểm đếm (L); số đã có phương án bồi thường được duyệt (M); số đã công khai phương án bồi thường (N); số đã nhận tiền bồi thường (O); số đã bàn giao mặt bằng (P)</t>
        </is>
      </c>
      <c r="D8" s="31" t="inlineStr">
        <is>
          <t>Theo dõi tiến độ theo từng bước của trình tự bồi thường: thông báo thu hồi đất → kiểm đếm → lập/thẩm định/phê duyệt phương án → công khai phương án → chi trả → bàn giao mặt bằng.</t>
        </is>
      </c>
      <c r="E8" s="31" t="inlineStr">
        <is>
          <t>Nghị định 88/2024/NĐ-CP quy định về bồi thường, hỗ trợ, tái định cư khi Nhà nước thu hồi đất (trình tự, thủ tục thực hiện). Đây là các mốc theo dõi nội bộ cụ thể hóa quy trình tại Nghị định này. (Cột K, N bổ sung ngày cập nhật để khớp với báo cáo định kỳ thực tế của đơn vị GPMB.)</t>
        </is>
      </c>
    </row>
    <row r="9" ht="23.85" customHeight="1" s="26">
      <c r="A9" s="31" t="n">
        <v>5</v>
      </c>
      <c r="B9" s="31" t="inlineStr">
        <is>
          <t>Danh mục dự án - Cột Q</t>
        </is>
      </c>
      <c r="C9" s="31" t="inlineStr">
        <is>
          <t>Tổng giá trị bồi thường, hỗ trợ theo phương án duyệt (triệu đồng)</t>
        </is>
      </c>
      <c r="D9" s="31" t="inlineStr">
        <is>
          <t>Giá trị theo phương án bồi thường, hỗ trợ, TĐC được cấp thẩm quyền phê duyệt.</t>
        </is>
      </c>
      <c r="E9" s="31" t="inlineStr">
        <is>
          <t>Thông tư 44/2026/TT-BTC, Mẫu số 03, mục II.1.2 (dùng làm mẫu số tính tỷ lệ giải ngân bồi thường).</t>
        </is>
      </c>
    </row>
    <row r="10" ht="35.05" customHeight="1" s="26">
      <c r="A10" s="31" t="n">
        <v>6</v>
      </c>
      <c r="B10" s="31" t="inlineStr">
        <is>
          <t>Danh mục dự án - Cột R</t>
        </is>
      </c>
      <c r="C10" s="31" t="inlineStr">
        <is>
          <t>Giá trị đã chi trả lũy kế (triệu đồng)</t>
        </is>
      </c>
      <c r="D10" s="31" t="inlineStr">
        <is>
          <t>Giá trị đã chi trả bồi thường đến kỳ báo cáo.</t>
        </is>
      </c>
      <c r="E10" s="31" t="inlineStr">
        <is>
          <t>Thông tư 44/2026/TT-BTC, Mẫu số 03, mục II.1.2: "Giá trị bồi thường đến thời điểm báo cáo so với tổng giá trị bồi thường theo phương án bồi thường, hỗ trợ, tái định cư".</t>
        </is>
      </c>
    </row>
    <row r="11" ht="23.85" customHeight="1" s="26">
      <c r="A11" s="31" t="n">
        <v>7</v>
      </c>
      <c r="B11" s="31" t="inlineStr">
        <is>
          <t>Danh mục dự án - Cột S</t>
        </is>
      </c>
      <c r="C11" s="31" t="inlineStr">
        <is>
          <t>Tỷ lệ % giá trị đã chi trả</t>
        </is>
      </c>
      <c r="D11" s="31" t="inlineStr">
        <is>
          <t>Công thức = R/Q. Trực tiếp phản ánh chỉ tiêu nêu tại TT44/2026 Mẫu 03.</t>
        </is>
      </c>
      <c r="E11" s="31" t="inlineStr">
        <is>
          <t>Thông tư 44/2026/TT-BTC, Mẫu số 03, mục II.1.2.</t>
        </is>
      </c>
    </row>
    <row r="12" ht="23.85" customHeight="1" s="26">
      <c r="A12" s="31" t="n">
        <v>8</v>
      </c>
      <c r="B12" s="31" t="inlineStr">
        <is>
          <t>Danh mục dự án - Cột T-V</t>
        </is>
      </c>
      <c r="C12" s="31" t="inlineStr">
        <is>
          <t>Số hộ thuộc diện TĐC; số đã bố trí; số còn lại chưa bố trí</t>
        </is>
      </c>
      <c r="D12" s="31" t="inlineStr">
        <is>
          <t>Theo dõi công tác bố trí nền đất/căn hộ tái định cư cho hộ dân bị ảnh hưởng.</t>
        </is>
      </c>
      <c r="E12" s="31" t="inlineStr">
        <is>
          <t>Nghị định 88/2024/NĐ-CP (quy định về tái định cư khi Nhà nước thu hồi đất).</t>
        </is>
      </c>
    </row>
    <row r="13" ht="35.05" customHeight="1" s="26">
      <c r="A13" s="31" t="n">
        <v>9</v>
      </c>
      <c r="B13" s="31" t="inlineStr">
        <is>
          <t>Danh mục dự án - Cột W</t>
        </is>
      </c>
      <c r="C13" s="31" t="inlineStr">
        <is>
          <t>Kế hoạch vốn bồi thường, GPMB năm (triệu đồng)</t>
        </is>
      </c>
      <c r="D13" s="31" t="inlineStr">
        <is>
          <t>Kế hoạch vốn đầu tư công được giao trong năm cho hạng mục bồi thường, GPMB của dự án.</t>
        </is>
      </c>
      <c r="E13" s="31" t="inlineStr">
        <is>
          <t>Luật Đầu tư công số 58/2024/QH15; Nghị định 85/2025/NĐ-CP quy định chi tiết thi hành Luật Đầu tư công (lập, giao, theo dõi kế hoạch đầu tư công).</t>
        </is>
      </c>
    </row>
    <row r="14" ht="23.85" customHeight="1" s="26">
      <c r="A14" s="31" t="n">
        <v>10</v>
      </c>
      <c r="B14" s="31" t="inlineStr">
        <is>
          <t>Danh mục dự án - Cột X</t>
        </is>
      </c>
      <c r="C14" s="31" t="inlineStr">
        <is>
          <t>Giá trị giải ngân lũy kế trong năm (triệu đồng)</t>
        </is>
      </c>
      <c r="D14" s="31" t="inlineStr">
        <is>
          <t>Giá trị đã giải ngân từ kế hoạch vốn nêu trên, cập nhật định kỳ.</t>
        </is>
      </c>
      <c r="E14" s="31" t="inlineStr">
        <is>
          <t>Luật Đầu tư công 58/2024/QH15, NĐ 85/2025/NĐ-CP; đồng thời là số liệu cập nhật định kỳ hằng tháng theo Điều 5 Thông tư 44/2026/TT-BTC.</t>
        </is>
      </c>
    </row>
    <row r="15" ht="23.85" customHeight="1" s="26">
      <c r="A15" s="31" t="n">
        <v>11</v>
      </c>
      <c r="B15" s="31" t="inlineStr">
        <is>
          <t>Danh mục dự án - Cột Y</t>
        </is>
      </c>
      <c r="C15" s="31" t="inlineStr">
        <is>
          <t>Tỷ lệ % giải ngân vốn so với KH năm</t>
        </is>
      </c>
      <c r="D15" s="31" t="inlineStr">
        <is>
          <t>Công thức = X/W.</t>
        </is>
      </c>
      <c r="E15" s="31" t="inlineStr">
        <is>
          <t>Suy ra từ 2 chỉ tiêu tại mục U, V nêu trên.</t>
        </is>
      </c>
    </row>
    <row r="16" ht="23.85" customHeight="1" s="26">
      <c r="A16" s="31" t="n">
        <v>12</v>
      </c>
      <c r="B16" s="31" t="inlineStr">
        <is>
          <t>Danh mục dự án - Cột Z</t>
        </is>
      </c>
      <c r="C16" s="31" t="inlineStr">
        <is>
          <t>Mốc hoàn thành GPMB theo kế hoạch</t>
        </is>
      </c>
      <c r="D16" s="31" t="inlineStr">
        <is>
          <t>Thời hạn hoàn thành công tác bồi thường, GPMB theo tiến độ được duyệt.</t>
        </is>
      </c>
      <c r="E16" s="31" t="inlineStr">
        <is>
          <t>Nêu tại Quyết định phê duyệt dự án/dự án thành phần (mục tiến độ thực hiện).</t>
        </is>
      </c>
    </row>
    <row r="17" ht="23.85" customHeight="1" s="26">
      <c r="A17" s="31" t="n">
        <v>13</v>
      </c>
      <c r="B17" s="31" t="inlineStr">
        <is>
          <t>Danh mục dự án - Cột AA-AB</t>
        </is>
      </c>
      <c r="C17" s="31" t="inlineStr">
        <is>
          <t>Ngày hoàn thành thực tế/dự kiến; Chênh lệch tiến độ (ngày)</t>
        </is>
      </c>
      <c r="D17" s="31" t="inlineStr">
        <is>
          <t>Theo dõi nội bộ, cập nhật theo báo cáo của đơn vị GPMB; Chênh lệch = AA - Z (dương là chậm tiến độ).</t>
        </is>
      </c>
      <c r="E17" s="31" t="inlineStr">
        <is>
          <t>Thông tư 44/2026/TT-BTC, Mẫu số 03, mục II.1.1 "Tiến độ thực hiện dự án".</t>
        </is>
      </c>
    </row>
    <row r="18" ht="23.85" customHeight="1" s="26">
      <c r="A18" s="31" t="n">
        <v>14</v>
      </c>
      <c r="B18" s="31" t="inlineStr">
        <is>
          <t>Danh mục dự án - Cột AC</t>
        </is>
      </c>
      <c r="C18" s="31" t="inlineStr">
        <is>
          <t>Tình trạng tổng thể</t>
        </is>
      </c>
      <c r="D18" s="31" t="inlineStr">
        <is>
          <t>Phân loại theo dõi nội bộ phục vụ tổng hợp báo cáo cho Ban Giám đốc Sở và UBND Thành phố.</t>
        </is>
      </c>
      <c r="E18" s="31" t="inlineStr">
        <is>
          <t>Dựa trên yêu cầu đánh giá kết quả thực hiện so với tiến độ được phê duyệt tại TT44/2026 Mẫu 03.</t>
        </is>
      </c>
    </row>
    <row r="19" ht="35.05" customHeight="1" s="26">
      <c r="A19" s="31" t="n">
        <v>15</v>
      </c>
      <c r="B19" s="31" t="inlineStr">
        <is>
          <t>Danh mục dự án - Cột F</t>
        </is>
      </c>
      <c r="C19" s="31" t="inlineStr">
        <is>
          <t>Nhóm dự án (Trọng điểm/Thường)</t>
        </is>
      </c>
      <c r="D19" s="31" t="inlineStr">
        <is>
          <t>Phân loại dự án trọng điểm để ưu tiên theo dõi, báo cáo riêng.</t>
        </is>
      </c>
      <c r="E19" s="31" t="inlineStr">
        <is>
          <t>Theo Danh mục dự án trọng điểm do UBND Thành phố phê duyệt/cập nhật theo từng thời kỳ (không phải một văn bản luật cố định - cần đối chiếu danh mục hiện hành).</t>
        </is>
      </c>
    </row>
    <row r="20" ht="46.25" customHeight="1" s="26">
      <c r="A20" s="31" t="n">
        <v>16</v>
      </c>
      <c r="B20" s="31" t="inlineStr">
        <is>
          <t>Khó khăn - Kiến nghị (toàn Sheet)</t>
        </is>
      </c>
      <c r="C20" s="31" t="inlineStr">
        <is>
          <t>Loại vướng mắc, số văn bản/báo cáo nguồn, nội dung, đơn vị xử lý, đề xuất, cấp thẩm quyền</t>
        </is>
      </c>
      <c r="D20" s="31" t="inlineStr">
        <is>
          <t>Ghi nhận khó khăn, vướng mắc và đề xuất xử lý theo từng dự án để tổng hợp báo cáo.</t>
        </is>
      </c>
      <c r="E20" s="31" t="inlineStr">
        <is>
          <t>Thông tư 44/2026/TT-BTC, Mẫu số 03 (mục "Khó khăn, vướng mắc" và "Kiến nghị"); thực tiễn chỉ đạo, điều hành của Sở Nông nghiệp và Môi trường TP.HCM (công văn đôn đốc tiến độ GPMB gửi UBND các phường, xã).</t>
        </is>
      </c>
    </row>
    <row r="21" ht="46.25" customHeight="1" s="26">
      <c r="A21" s="31" t="n">
        <v>17</v>
      </c>
      <c r="B21" s="31" t="inlineStr">
        <is>
          <t>Khung pháp lý chung (toàn bộ workbook)</t>
        </is>
      </c>
      <c r="C21" s="31" t="inlineStr">
        <is>
          <t>Chế độ báo cáo giám sát, đánh giá đầu tư định kỳ</t>
        </is>
      </c>
      <c r="D21" s="31" t="inlineStr">
        <is>
          <t>Căn cứ xác lập trách nhiệm, kỳ hạn báo cáo (6 tháng/cả năm) và hệ thống mẫu biểu.</t>
        </is>
      </c>
      <c r="E21" s="31" t="inlineStr">
        <is>
          <t>Nghị định 19/2026/NĐ-CP ngày 14/01/2026 (sửa đổi, bổ sung bởi Nghị định 96/2026/NĐ-CP) quy định trình tự, thủ tục thẩm định dự án quan trọng quốc gia và giám sát, đánh giá đầu tư; Thông tư 44/2026/TT-BTC ngày 22/4/2026 của Bộ Tài chính (thay thế Thông tư 05/2023/TT-BKHĐT).</t>
        </is>
      </c>
    </row>
    <row r="22">
      <c r="A22" s="31" t="n">
        <v>18</v>
      </c>
      <c r="B22" s="31" t="inlineStr">
        <is>
          <t>Danh mục dự án - Cột AC (gợi ý quy ước phân loại)</t>
        </is>
      </c>
      <c r="C22" s="31" t="inlineStr">
        <is>
          <t>Ngưỡng tham khảo để phân loại thống nhất</t>
        </is>
      </c>
      <c r="D22" s="31" t="inlineStr">
        <is>
          <t>Gợi ý: Tỷ lệ lũy kế các bước ≥95% và không còn vướng mắc pháp lý treo → "Cơ bản hoàn thành"/"Đã hoàn thành"; đang có vướng mắc chờ tòa án/cấp thẩm quyền xử lý hoặc chưa đủ hồ sơ pháp lý → xếp "Đang triển khai" kèm ghi chú vướng mắc; chưa phát sinh số liệu thực hiện → "Chưa triển khai".</t>
        </is>
      </c>
      <c r="E22" s="31" t="inlineStr">
        <is>
          <t>Quy ước nội bộ của KHTC để thống nhất cách đánh giá giữa các dự án - không phải chỉ tiêu bắt buộc theo TT44/2026.</t>
        </is>
      </c>
    </row>
  </sheetData>
  <autoFilter ref="A4:E21"/>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2026-09-19T01:44:14Z</dcterms:created>
  <dcterms:modified xmlns:dcterms="http://purl.org/dc/terms/" xmlns:xsi="http://www.w3.org/2001/XMLSchema-instance" xsi:type="dcterms:W3CDTF">2026-09-19T02:35:19Z</dcterms:modified>
  <cp:revision>0</cp:revision>
</cp:coreProperties>
</file>